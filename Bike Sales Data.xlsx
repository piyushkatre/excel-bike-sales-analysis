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d1c2353a67606ae3/Desktop/Excel Project/"/>
    </mc:Choice>
  </mc:AlternateContent>
  <xr:revisionPtr revIDLastSave="1222" documentId="8_{ABC04089-7769-4E43-9915-B025B1F01043}" xr6:coauthVersionLast="47" xr6:coauthVersionMax="47" xr10:uidLastSave="{1E8B4B65-C7D2-4BDC-B9BA-189BD07A85C8}"/>
  <bookViews>
    <workbookView xWindow="-108" yWindow="-108" windowWidth="23256" windowHeight="12456" activeTab="3" xr2:uid="{00000000-000D-0000-FFFF-FFFF00000000}"/>
  </bookViews>
  <sheets>
    <sheet name="bike_buyers" sheetId="1" r:id="rId1"/>
    <sheet name="Working sheet" sheetId="2" state="hidden" r:id="rId2"/>
    <sheet name="Pivot Tab" sheetId="3" state="hidden"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a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9" i="5" l="1"/>
  <c r="H9" i="5"/>
  <c r="B9" i="5"/>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<sst xmlns="http://schemas.openxmlformats.org/spreadsheetml/2006/main" count="16271" uniqueCount="56">
  <si>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</si>
  <si>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</si>
  <si>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</si>
  <si>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</si>
  <si>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</si>
  <si>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</si>
  <si>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</si>
  <si>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</si>
  <si>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</si>
  <si>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</si>
  <si>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</si>
  <si>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</si>
  <si>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</si>
  <si>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</si>
  <si>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</si>
  <si>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</si>
  <si>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</si>
  <si>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</si>
  <si>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</si>
  <si>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</si>
  <si>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</si>
  <si>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</si>
  <si>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</si>
  <si>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</si>
  <si>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</si>
  <si>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</si>
  <si>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</si>
  <si>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</si>
  <si>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</si>
  <si>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</si>
  <si>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</si>
  <si>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</si>
  <si>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</si>
  <si>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</si>
  <si>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</si>
  <si>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</si>
  <si>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</si>
  <si>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</si>
  <si>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Mariatal Status</t>
  </si>
  <si>
    <t>Male</t>
  </si>
  <si>
    <t>Female</t>
  </si>
  <si>
    <t>Age Brackets</t>
  </si>
  <si>
    <t>More than 10 miles</t>
  </si>
  <si>
    <t>Row Labels</t>
  </si>
  <si>
    <t>Grand Total</t>
  </si>
  <si>
    <t>Average of Income</t>
  </si>
  <si>
    <t>Column Labels</t>
  </si>
  <si>
    <t>Count of Purchased Bike</t>
  </si>
  <si>
    <t>Adolescent</t>
  </si>
  <si>
    <t>Middle Age</t>
  </si>
  <si>
    <t>Old</t>
  </si>
  <si>
    <t>Bike Sales Insights Dashboard</t>
  </si>
  <si>
    <t>Purchase Rate:</t>
  </si>
  <si>
    <t>Total Customers</t>
  </si>
  <si>
    <t>Total Bike Purchased</t>
  </si>
  <si>
    <t>Data Source: Bike Sales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</si>
</sst>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Arial"/>
      <family val="2"/>
    </font>
    <font>
      <sz val="12"/>
      <color theme="1"/>
      <name val="Calibri"/>
      <family val="2"/>
      <scheme val="minor"/>
    </font>
    <font>
      <b/>
      <sz val="24"/>
      <color theme="0"/>
      <name val="Arial"/>
      <family val="2"/>
    </font>
    <font>
      <b/>
      <sz val="14"/>
      <color theme="0" tint="-4.9989318521683403E-2"/>
      <name val="Arial"/>
      <family val="2"/>
    </font>
    <font>
      <b/>
      <sz val="14"/>
      <color theme="0"/>
      <name val="Arial"/>
      <family val="2"/>
    </font>
    <font>
      <b/>
      <sz val="28"/>
      <color theme="0" tint="-4.9989318521683403E-2"/>
      <name val="Arial"/>
      <family val="2"/>
    </font>
    <font>
      <b/>
      <sz val="28"/>
      <color theme="0"/>
      <name val="Arial"/>
      <family val="2"/>
    </font>
    <font>
      <b/>
      <sz val="2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21" fillId="35" borderId="0" xfId="0" applyFont="1" applyFill="1" applyAlignment="1">
      <alignment horizontal="center"/>
    </xf>
    <xf numFmtId="0" fontId="20" fillId="0" borderId="0" xfId="0" applyFont="1" applyAlignment="1">
      <alignment horizontal="center"/>
    </xf>
    <xf numFmtId="0" fontId="0" fillId="0" borderId="0" xfId="0" applyAlignment="1">
      <alignment horizontal="center"/>
    </xf>
    <xf numFmtId="0" fontId="19" fillId="33" borderId="0" xfId="0" applyFont="1" applyFill="1" applyAlignment="1">
      <alignment horizontal="center" vertical="center"/>
    </xf>
    <xf numFmtId="0" fontId="24" fillId="34" borderId="0" xfId="0" applyFont="1" applyFill="1" applyAlignment="1">
      <alignment horizontal="center"/>
    </xf>
    <xf numFmtId="0" fontId="25" fillId="34" borderId="0" xfId="0" applyFont="1" applyFill="1" applyAlignment="1">
      <alignment horizontal="center"/>
    </xf>
    <xf numFmtId="166" fontId="26" fillId="34" borderId="0" xfId="42" applyNumberFormat="1" applyFont="1" applyFill="1" applyAlignment="1">
      <alignment horizontal="center"/>
    </xf>
    <xf numFmtId="0" fontId="22" fillId="34" borderId="0" xfId="0" applyFont="1" applyFill="1" applyAlignment="1">
      <alignment horizontal="center"/>
    </xf>
    <xf numFmtId="0" fontId="23" fillId="34"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a:t>
            </a:r>
            <a:r>
              <a:rPr lang="en-IN" baseline="0"/>
              <a:t>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Tab'!$B$6:$B$7</c:f>
              <c:strCache>
                <c:ptCount val="1"/>
                <c:pt idx="0">
                  <c:v>No</c:v>
                </c:pt>
              </c:strCache>
            </c:strRef>
          </c:tx>
          <c:spPr>
            <a:solidFill>
              <a:schemeClr val="accent1"/>
            </a:solidFill>
            <a:ln>
              <a:noFill/>
            </a:ln>
            <a:effectLst/>
          </c:spPr>
          <c:invertIfNegative val="0"/>
          <c:cat>
            <c:strRef>
              <c:f>'Pivot Tab'!$A$8:$A$10</c:f>
              <c:strCache>
                <c:ptCount val="2"/>
                <c:pt idx="0">
                  <c:v>Female</c:v>
                </c:pt>
                <c:pt idx="1">
                  <c:v>Male</c:v>
                </c:pt>
              </c:strCache>
            </c:strRef>
          </c:cat>
          <c:val>
            <c:numRef>
              <c:f>'Pivot Tab'!$B$8:$B$10</c:f>
              <c:numCache>
                <c:formatCode>"₹"\ #,##0</c:formatCode>
                <c:ptCount val="2"/>
                <c:pt idx="0">
                  <c:v>53440</c:v>
                </c:pt>
                <c:pt idx="1">
                  <c:v>56208.178438661707</c:v>
                </c:pt>
              </c:numCache>
            </c:numRef>
          </c:val>
          <c:extLst>
            <c:ext xmlns:c16="http://schemas.microsoft.com/office/drawing/2014/chart" uri="{C3380CC4-5D6E-409C-BE32-E72D297353CC}">
              <c16:uniqueId val="{00000000-0BA4-40F6-9D48-4E1FE63136BA}"/>
            </c:ext>
          </c:extLst>
        </c:ser>
        <c:ser>
          <c:idx val="1"/>
          <c:order val="1"/>
          <c:tx>
            <c:strRef>
              <c:f>'Pivot Tab'!$C$6:$C$7</c:f>
              <c:strCache>
                <c:ptCount val="1"/>
                <c:pt idx="0">
                  <c:v>Yes</c:v>
                </c:pt>
              </c:strCache>
            </c:strRef>
          </c:tx>
          <c:spPr>
            <a:solidFill>
              <a:schemeClr val="accent2"/>
            </a:solidFill>
            <a:ln>
              <a:noFill/>
            </a:ln>
            <a:effectLst/>
          </c:spPr>
          <c:invertIfNegative val="0"/>
          <c:cat>
            <c:strRef>
              <c:f>'Pivot Tab'!$A$8:$A$10</c:f>
              <c:strCache>
                <c:ptCount val="2"/>
                <c:pt idx="0">
                  <c:v>Female</c:v>
                </c:pt>
                <c:pt idx="1">
                  <c:v>Male</c:v>
                </c:pt>
              </c:strCache>
            </c:strRef>
          </c:cat>
          <c:val>
            <c:numRef>
              <c:f>'Pivot Tab'!$C$8:$C$10</c:f>
              <c:numCache>
                <c:formatCode>"₹"\ #,##0</c:formatCode>
                <c:ptCount val="2"/>
                <c:pt idx="0">
                  <c:v>55774.058577405856</c:v>
                </c:pt>
                <c:pt idx="1">
                  <c:v>60123.966942148763</c:v>
                </c:pt>
              </c:numCache>
            </c:numRef>
          </c:val>
          <c:extLst>
            <c:ext xmlns:c16="http://schemas.microsoft.com/office/drawing/2014/chart" uri="{C3380CC4-5D6E-409C-BE32-E72D297353CC}">
              <c16:uniqueId val="{00000001-0BA4-40F6-9D48-4E1FE63136BA}"/>
            </c:ext>
          </c:extLst>
        </c:ser>
        <c:dLbls>
          <c:showLegendKey val="0"/>
          <c:showVal val="0"/>
          <c:showCatName val="0"/>
          <c:showSerName val="0"/>
          <c:showPercent val="0"/>
          <c:showBubbleSize val="0"/>
        </c:dLbls>
        <c:gapWidth val="219"/>
        <c:overlap val="-27"/>
        <c:axId val="1564056143"/>
        <c:axId val="1564057103"/>
      </c:barChart>
      <c:catAx>
        <c:axId val="156405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057103"/>
        <c:crosses val="autoZero"/>
        <c:auto val="1"/>
        <c:lblAlgn val="ctr"/>
        <c:lblOffset val="100"/>
        <c:noMultiLvlLbl val="0"/>
      </c:catAx>
      <c:valAx>
        <c:axId val="1564057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0561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 Distance</a:t>
            </a:r>
            <a:r>
              <a:rPr lang="en-IN" baseline="0"/>
              <a:t>  wise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Tab'!$A$49:$A$54</c:f>
              <c:strCache>
                <c:ptCount val="5"/>
                <c:pt idx="0">
                  <c:v>0-1 Miles</c:v>
                </c:pt>
                <c:pt idx="1">
                  <c:v>1-2 Miles</c:v>
                </c:pt>
                <c:pt idx="2">
                  <c:v>2-5 Miles</c:v>
                </c:pt>
                <c:pt idx="3">
                  <c:v>5-10 Miles</c:v>
                </c:pt>
                <c:pt idx="4">
                  <c:v>More than 10 miles</c:v>
                </c:pt>
              </c:strCache>
            </c:strRef>
          </c:cat>
          <c:val>
            <c:numRef>
              <c:f>'Pivot Tab'!$B$49:$B$54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0DB-4FE5-B060-B11CF2ADD136}"/>
            </c:ext>
          </c:extLst>
        </c:ser>
        <c:ser>
          <c:idx val="1"/>
          <c:order val="1"/>
          <c:tx>
            <c:strRef>
              <c:f>'Pivot Tab'!$C$47:$C$48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Tab'!$A$49:$A$54</c:f>
              <c:strCache>
                <c:ptCount val="5"/>
                <c:pt idx="0">
                  <c:v>0-1 Miles</c:v>
                </c:pt>
                <c:pt idx="1">
                  <c:v>1-2 Miles</c:v>
                </c:pt>
                <c:pt idx="2">
                  <c:v>2-5 Miles</c:v>
                </c:pt>
                <c:pt idx="3">
                  <c:v>5-10 Miles</c:v>
                </c:pt>
                <c:pt idx="4">
                  <c:v>More than 10 miles</c:v>
                </c:pt>
              </c:strCache>
            </c:strRef>
          </c:cat>
          <c:val>
            <c:numRef>
              <c:f>'Pivot Tab'!$C$49:$C$54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0DB-4FE5-B060-B11CF2ADD136}"/>
            </c:ext>
          </c:extLst>
        </c:ser>
        <c:dLbls>
          <c:showLegendKey val="0"/>
          <c:showVal val="0"/>
          <c:showCatName val="0"/>
          <c:showSerName val="0"/>
          <c:showPercent val="0"/>
          <c:showBubbleSize val="0"/>
        </c:dLbls>
        <c:marker val="1"/>
        <c:smooth val="0"/>
        <c:axId val="1993019743"/>
        <c:axId val="1993019263"/>
      </c:lineChart>
      <c:catAx>
        <c:axId val="1993019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19263"/>
        <c:crosses val="autoZero"/>
        <c:auto val="1"/>
        <c:lblAlgn val="ctr"/>
        <c:lblOffset val="100"/>
        <c:noMultiLvlLbl val="0"/>
      </c:catAx>
      <c:valAx>
        <c:axId val="199301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1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Wise Bike</a:t>
            </a:r>
            <a:r>
              <a:rPr lang="en-IN" baseline="0"/>
              <a: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Tab'!$B$25:$B$26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Tab'!$A$27:$A$30</c:f>
              <c:strCache>
                <c:ptCount val="3"/>
                <c:pt idx="0">
                  <c:v>Adolescent</c:v>
                </c:pt>
                <c:pt idx="1">
                  <c:v>Middle Age</c:v>
                </c:pt>
                <c:pt idx="2">
                  <c:v>Old</c:v>
                </c:pt>
              </c:strCache>
            </c:strRef>
          </c:cat>
          <c:val>
            <c:numRef>
              <c:f>'Pivot Tab'!$B$27:$B$30</c:f>
              <c:numCache>
                <c:formatCode>General</c:formatCode>
                <c:ptCount val="3"/>
                <c:pt idx="0">
                  <c:v>88</c:v>
                </c:pt>
                <c:pt idx="1">
                  <c:v>301</c:v>
                </c:pt>
                <c:pt idx="2">
                  <c:v>130</c:v>
                </c:pt>
              </c:numCache>
            </c:numRef>
          </c:val>
          <c:smooth val="0"/>
          <c:extLst>
            <c:ext xmlns:c16="http://schemas.microsoft.com/office/drawing/2014/chart" uri="{C3380CC4-5D6E-409C-BE32-E72D297353CC}">
              <c16:uniqueId val="{00000000-95C6-4167-BFBF-73CB289AD482}"/>
            </c:ext>
          </c:extLst>
        </c:ser>
        <c:ser>
          <c:idx val="1"/>
          <c:order val="1"/>
          <c:tx>
            <c:strRef>
              <c:f>'Pivot Tab'!$C$25:$C$26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Tab'!$A$27:$A$30</c:f>
              <c:strCache>
                <c:ptCount val="3"/>
                <c:pt idx="0">
                  <c:v>Adolescent</c:v>
                </c:pt>
                <c:pt idx="1">
                  <c:v>Middle Age</c:v>
                </c:pt>
                <c:pt idx="2">
                  <c:v>Old</c:v>
                </c:pt>
              </c:strCache>
            </c:strRef>
          </c:cat>
          <c:val>
            <c:numRef>
              <c:f>'Pivot Tab'!$C$27:$C$30</c:f>
              <c:numCache>
                <c:formatCode>General</c:formatCode>
                <c:ptCount val="3"/>
                <c:pt idx="0">
                  <c:v>47</c:v>
                </c:pt>
                <c:pt idx="1">
                  <c:v>375</c:v>
                </c:pt>
                <c:pt idx="2">
                  <c:v>59</c:v>
                </c:pt>
              </c:numCache>
            </c:numRef>
          </c:val>
          <c:smooth val="0"/>
          <c:extLst>
            <c:ext xmlns:c16="http://schemas.microsoft.com/office/drawing/2014/chart" uri="{C3380CC4-5D6E-409C-BE32-E72D297353CC}">
              <c16:uniqueId val="{00000001-95C6-4167-BFBF-73CB289AD482}"/>
            </c:ext>
          </c:extLst>
        </c:ser>
        <c:dLbls>
          <c:showLegendKey val="0"/>
          <c:showVal val="0"/>
          <c:showCatName val="0"/>
          <c:showSerName val="0"/>
          <c:showPercent val="0"/>
          <c:showBubbleSize val="0"/>
        </c:dLbls>
        <c:marker val="1"/>
        <c:smooth val="0"/>
        <c:axId val="2074801967"/>
        <c:axId val="1999412415"/>
      </c:lineChart>
      <c:catAx>
        <c:axId val="207480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412415"/>
        <c:crosses val="autoZero"/>
        <c:auto val="1"/>
        <c:lblAlgn val="ctr"/>
        <c:lblOffset val="100"/>
        <c:noMultiLvlLbl val="0"/>
      </c:catAx>
      <c:valAx>
        <c:axId val="199941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0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Comparison of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Tab'!$B$25:$B$26</c:f>
              <c:strCache>
                <c:ptCount val="1"/>
                <c:pt idx="0">
                  <c:v>No</c:v>
                </c:pt>
              </c:strCache>
            </c:strRef>
          </c:tx>
          <c:spPr>
            <a:solidFill>
              <a:schemeClr val="accent1"/>
            </a:solidFill>
            <a:ln>
              <a:noFill/>
            </a:ln>
            <a:effectLst/>
            <a:sp3d/>
          </c:spPr>
          <c:invertIfNegative val="0"/>
          <c:cat>
            <c:strRef>
              <c:f>'Pivot Tab'!$A$27:$A$30</c:f>
              <c:strCache>
                <c:ptCount val="3"/>
                <c:pt idx="0">
                  <c:v>Adolescent</c:v>
                </c:pt>
                <c:pt idx="1">
                  <c:v>Middle Age</c:v>
                </c:pt>
                <c:pt idx="2">
                  <c:v>Old</c:v>
                </c:pt>
              </c:strCache>
            </c:strRef>
          </c:cat>
          <c:val>
            <c:numRef>
              <c:f>'Pivot Tab'!$B$27:$B$30</c:f>
              <c:numCache>
                <c:formatCode>General</c:formatCode>
                <c:ptCount val="3"/>
                <c:pt idx="0">
                  <c:v>88</c:v>
                </c:pt>
                <c:pt idx="1">
                  <c:v>301</c:v>
                </c:pt>
                <c:pt idx="2">
                  <c:v>130</c:v>
                </c:pt>
              </c:numCache>
            </c:numRef>
          </c:val>
          <c:extLst>
            <c:ext xmlns:c16="http://schemas.microsoft.com/office/drawing/2014/chart" uri="{C3380CC4-5D6E-409C-BE32-E72D297353CC}">
              <c16:uniqueId val="{00000000-F3F0-434D-839C-29DB84C69585}"/>
            </c:ext>
          </c:extLst>
        </c:ser>
        <c:ser>
          <c:idx val="1"/>
          <c:order val="1"/>
          <c:tx>
            <c:strRef>
              <c:f>'Pivot Tab'!$C$25:$C$26</c:f>
              <c:strCache>
                <c:ptCount val="1"/>
                <c:pt idx="0">
                  <c:v>Yes</c:v>
                </c:pt>
              </c:strCache>
            </c:strRef>
          </c:tx>
          <c:spPr>
            <a:solidFill>
              <a:schemeClr val="accent2"/>
            </a:solidFill>
            <a:ln>
              <a:noFill/>
            </a:ln>
            <a:effectLst/>
            <a:sp3d/>
          </c:spPr>
          <c:invertIfNegative val="0"/>
          <c:cat>
            <c:strRef>
              <c:f>'Pivot Tab'!$A$27:$A$30</c:f>
              <c:strCache>
                <c:ptCount val="3"/>
                <c:pt idx="0">
                  <c:v>Adolescent</c:v>
                </c:pt>
                <c:pt idx="1">
                  <c:v>Middle Age</c:v>
                </c:pt>
                <c:pt idx="2">
                  <c:v>Old</c:v>
                </c:pt>
              </c:strCache>
            </c:strRef>
          </c:cat>
          <c:val>
            <c:numRef>
              <c:f>'Pivot Tab'!$C$27:$C$30</c:f>
              <c:numCache>
                <c:formatCode>General</c:formatCode>
                <c:ptCount val="3"/>
                <c:pt idx="0">
                  <c:v>47</c:v>
                </c:pt>
                <c:pt idx="1">
                  <c:v>375</c:v>
                </c:pt>
                <c:pt idx="2">
                  <c:v>59</c:v>
                </c:pt>
              </c:numCache>
            </c:numRef>
          </c:val>
          <c:extLst>
            <c:ext xmlns:c16="http://schemas.microsoft.com/office/drawing/2014/chart" uri="{C3380CC4-5D6E-409C-BE32-E72D297353CC}">
              <c16:uniqueId val="{00000001-F3F0-434D-839C-29DB84C69585}"/>
            </c:ext>
          </c:extLst>
        </c:ser>
        <c:dLbls>
          <c:showLegendKey val="0"/>
          <c:showVal val="0"/>
          <c:showCatName val="0"/>
          <c:showSerName val="0"/>
          <c:showPercent val="0"/>
          <c:showBubbleSize val="0"/>
        </c:dLbls>
        <c:gapWidth val="150"/>
        <c:shape val="box"/>
        <c:axId val="1753326672"/>
        <c:axId val="1753320432"/>
        <c:axId val="0"/>
      </c:bar3DChart>
      <c:catAx>
        <c:axId val="1753326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320432"/>
        <c:crosses val="autoZero"/>
        <c:auto val="1"/>
        <c:lblAlgn val="ctr"/>
        <c:lblOffset val="100"/>
        <c:noMultiLvlLbl val="0"/>
      </c:catAx>
      <c:valAx>
        <c:axId val="175332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32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Tab!PivotTable4</c:name>
    <c:fmtId val="8"/>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t>Bike Purchases by Commutes Distance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652916547422214E-2"/>
          <c:y val="0.15677927380309362"/>
          <c:w val="0.89416455266308625"/>
          <c:h val="0.58438314385069412"/>
        </c:manualLayout>
      </c:layout>
      <c:barChart>
        <c:barDir val="col"/>
        <c:grouping val="clustered"/>
        <c:varyColors val="0"/>
        <c:ser>
          <c:idx val="0"/>
          <c:order val="0"/>
          <c:tx>
            <c:strRef>
              <c:f>'Pivot Tab'!$B$47:$B$48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Tab'!$A$49:$A$54</c:f>
              <c:strCache>
                <c:ptCount val="5"/>
                <c:pt idx="0">
                  <c:v>0-1 Miles</c:v>
                </c:pt>
                <c:pt idx="1">
                  <c:v>1-2 Miles</c:v>
                </c:pt>
                <c:pt idx="2">
                  <c:v>2-5 Miles</c:v>
                </c:pt>
                <c:pt idx="3">
                  <c:v>5-10 Miles</c:v>
                </c:pt>
                <c:pt idx="4">
                  <c:v>More than 10 miles</c:v>
                </c:pt>
              </c:strCache>
            </c:strRef>
          </c:cat>
          <c:val>
            <c:numRef>
              <c:f>'Pivot Tab'!$B$49:$B$54</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DBD3-44C0-A15E-4C6217DB8A0F}"/>
            </c:ext>
          </c:extLst>
        </c:ser>
        <c:ser>
          <c:idx val="1"/>
          <c:order val="1"/>
          <c:tx>
            <c:strRef>
              <c:f>'Pivot Tab'!$C$47:$C$48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Tab'!$A$49:$A$54</c:f>
              <c:strCache>
                <c:ptCount val="5"/>
                <c:pt idx="0">
                  <c:v>0-1 Miles</c:v>
                </c:pt>
                <c:pt idx="1">
                  <c:v>1-2 Miles</c:v>
                </c:pt>
                <c:pt idx="2">
                  <c:v>2-5 Miles</c:v>
                </c:pt>
                <c:pt idx="3">
                  <c:v>5-10 Miles</c:v>
                </c:pt>
                <c:pt idx="4">
                  <c:v>More than 10 miles</c:v>
                </c:pt>
              </c:strCache>
            </c:strRef>
          </c:cat>
          <c:val>
            <c:numRef>
              <c:f>'Pivot Tab'!$C$49:$C$54</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DBD3-44C0-A15E-4C6217DB8A0F}"/>
            </c:ext>
          </c:extLst>
        </c:ser>
        <c:dLbls>
          <c:dLblPos val="outEnd"/>
          <c:showLegendKey val="0"/>
          <c:showVal val="1"/>
          <c:showCatName val="0"/>
          <c:showSerName val="0"/>
          <c:showPercent val="0"/>
          <c:showBubbleSize val="0"/>
        </c:dLbls>
        <c:gapWidth val="150"/>
        <c:axId val="1993019743"/>
        <c:axId val="1993019263"/>
      </c:barChart>
      <c:catAx>
        <c:axId val="1993019743"/>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t>Commute Distance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93019263"/>
        <c:crosses val="autoZero"/>
        <c:auto val="1"/>
        <c:lblAlgn val="ctr"/>
        <c:lblOffset val="100"/>
        <c:noMultiLvlLbl val="0"/>
      </c:catAx>
      <c:valAx>
        <c:axId val="199301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9301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Tab!PivotTable6</c:name>
    <c:fmtId val="10"/>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t>Bike Purchase by Age Group</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Tab'!$B$25:$B$26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Tab'!$A$27:$A$30</c:f>
              <c:strCache>
                <c:ptCount val="3"/>
                <c:pt idx="0">
                  <c:v>Adolescent</c:v>
                </c:pt>
                <c:pt idx="1">
                  <c:v>Middle Age</c:v>
                </c:pt>
                <c:pt idx="2">
                  <c:v>Old</c:v>
                </c:pt>
              </c:strCache>
            </c:strRef>
          </c:cat>
          <c:val>
            <c:numRef>
              <c:f>'Pivot Tab'!$B$27:$B$30</c:f>
              <c:numCache>
                <c:formatCode>General</c:formatCode>
                <c:ptCount val="3"/>
                <c:pt idx="0">
                  <c:v>88</c:v>
                </c:pt>
                <c:pt idx="1">
                  <c:v>301</c:v>
                </c:pt>
                <c:pt idx="2">
                  <c:v>130</c:v>
                </c:pt>
              </c:numCache>
            </c:numRef>
          </c:val>
          <c:extLst>
            <c:ext xmlns:c16="http://schemas.microsoft.com/office/drawing/2014/chart" uri="{C3380CC4-5D6E-409C-BE32-E72D297353CC}">
              <c16:uniqueId val="{00000000-2345-4583-89BF-5C3A97D71F54}"/>
            </c:ext>
          </c:extLst>
        </c:ser>
        <c:ser>
          <c:idx val="1"/>
          <c:order val="1"/>
          <c:tx>
            <c:strRef>
              <c:f>'Pivot Tab'!$C$25:$C$26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Tab'!$A$27:$A$30</c:f>
              <c:strCache>
                <c:ptCount val="3"/>
                <c:pt idx="0">
                  <c:v>Adolescent</c:v>
                </c:pt>
                <c:pt idx="1">
                  <c:v>Middle Age</c:v>
                </c:pt>
                <c:pt idx="2">
                  <c:v>Old</c:v>
                </c:pt>
              </c:strCache>
            </c:strRef>
          </c:cat>
          <c:val>
            <c:numRef>
              <c:f>'Pivot Tab'!$C$27:$C$30</c:f>
              <c:numCache>
                <c:formatCode>General</c:formatCode>
                <c:ptCount val="3"/>
                <c:pt idx="0">
                  <c:v>47</c:v>
                </c:pt>
                <c:pt idx="1">
                  <c:v>375</c:v>
                </c:pt>
                <c:pt idx="2">
                  <c:v>59</c:v>
                </c:pt>
              </c:numCache>
            </c:numRef>
          </c:val>
          <c:extLst>
            <c:ext xmlns:c16="http://schemas.microsoft.com/office/drawing/2014/chart" uri="{C3380CC4-5D6E-409C-BE32-E72D297353CC}">
              <c16:uniqueId val="{00000001-2345-4583-89BF-5C3A97D71F54}"/>
            </c:ext>
          </c:extLst>
        </c:ser>
        <c:dLbls>
          <c:dLblPos val="outEnd"/>
          <c:showLegendKey val="0"/>
          <c:showVal val="1"/>
          <c:showCatName val="0"/>
          <c:showSerName val="0"/>
          <c:showPercent val="0"/>
          <c:showBubbleSize val="0"/>
        </c:dLbls>
        <c:gapWidth val="150"/>
        <c:axId val="1753326672"/>
        <c:axId val="1753320432"/>
      </c:barChart>
      <c:catAx>
        <c:axId val="1753326672"/>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t>Age Group</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53320432"/>
        <c:crosses val="autoZero"/>
        <c:auto val="1"/>
        <c:lblAlgn val="ctr"/>
        <c:lblOffset val="100"/>
        <c:noMultiLvlLbl val="0"/>
      </c:catAx>
      <c:valAx>
        <c:axId val="175332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5332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sz="1400" baseline="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Tab!PivotTable2</c:name>
    <c:fmtId val="2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t>Avg Income by Gender</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Tab'!$B$6:$B$7</c:f>
              <c:strCache>
                <c:ptCount val="1"/>
                <c:pt idx="0">
                  <c:v>No</c:v>
                </c:pt>
              </c:strCache>
            </c:strRef>
          </c:tx>
          <c:spPr>
            <a:solidFill>
              <a:schemeClr val="accent1"/>
            </a:solidFill>
            <a:ln>
              <a:noFill/>
            </a:ln>
            <a:effectLst/>
          </c:spPr>
          <c:invertIfNegative val="0"/>
          <c:cat>
            <c:strRef>
              <c:f>'Pivot Tab'!$A$8:$A$10</c:f>
              <c:strCache>
                <c:ptCount val="2"/>
                <c:pt idx="0">
                  <c:v>Female</c:v>
                </c:pt>
                <c:pt idx="1">
                  <c:v>Male</c:v>
                </c:pt>
              </c:strCache>
            </c:strRef>
          </c:cat>
          <c:val>
            <c:numRef>
              <c:f>'Pivot Tab'!$B$8:$B$10</c:f>
              <c:numCache>
                <c:formatCode>"₹"\ #,##0</c:formatCode>
                <c:ptCount val="2"/>
                <c:pt idx="0">
                  <c:v>53440</c:v>
                </c:pt>
                <c:pt idx="1">
                  <c:v>56208.178438661707</c:v>
                </c:pt>
              </c:numCache>
            </c:numRef>
          </c:val>
          <c:extLst>
            <c:ext xmlns:c16="http://schemas.microsoft.com/office/drawing/2014/chart" uri="{C3380CC4-5D6E-409C-BE32-E72D297353CC}">
              <c16:uniqueId val="{00000000-FCE8-4297-944A-C9259F563AC2}"/>
            </c:ext>
          </c:extLst>
        </c:ser>
        <c:ser>
          <c:idx val="1"/>
          <c:order val="1"/>
          <c:tx>
            <c:strRef>
              <c:f>'Pivot Tab'!$C$6:$C$7</c:f>
              <c:strCache>
                <c:ptCount val="1"/>
                <c:pt idx="0">
                  <c:v>Yes</c:v>
                </c:pt>
              </c:strCache>
            </c:strRef>
          </c:tx>
          <c:spPr>
            <a:solidFill>
              <a:schemeClr val="accent2"/>
            </a:solidFill>
            <a:ln>
              <a:noFill/>
            </a:ln>
            <a:effectLst/>
          </c:spPr>
          <c:invertIfNegative val="0"/>
          <c:cat>
            <c:strRef>
              <c:f>'Pivot Tab'!$A$8:$A$10</c:f>
              <c:strCache>
                <c:ptCount val="2"/>
                <c:pt idx="0">
                  <c:v>Female</c:v>
                </c:pt>
                <c:pt idx="1">
                  <c:v>Male</c:v>
                </c:pt>
              </c:strCache>
            </c:strRef>
          </c:cat>
          <c:val>
            <c:numRef>
              <c:f>'Pivot Tab'!$C$8:$C$10</c:f>
              <c:numCache>
                <c:formatCode>"₹"\ #,##0</c:formatCode>
                <c:ptCount val="2"/>
                <c:pt idx="0">
                  <c:v>55774.058577405856</c:v>
                </c:pt>
                <c:pt idx="1">
                  <c:v>60123.966942148763</c:v>
                </c:pt>
              </c:numCache>
            </c:numRef>
          </c:val>
          <c:extLst>
            <c:ext xmlns:c16="http://schemas.microsoft.com/office/drawing/2014/chart" uri="{C3380CC4-5D6E-409C-BE32-E72D297353CC}">
              <c16:uniqueId val="{00000001-FCE8-4297-944A-C9259F563AC2}"/>
            </c:ext>
          </c:extLst>
        </c:ser>
        <c:dLbls>
          <c:showLegendKey val="0"/>
          <c:showVal val="0"/>
          <c:showCatName val="0"/>
          <c:showSerName val="0"/>
          <c:showPercent val="0"/>
          <c:showBubbleSize val="0"/>
        </c:dLbls>
        <c:gapWidth val="219"/>
        <c:overlap val="-27"/>
        <c:axId val="1564056143"/>
        <c:axId val="1564057103"/>
      </c:barChart>
      <c:catAx>
        <c:axId val="1564056143"/>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t>Gender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64057103"/>
        <c:crosses val="autoZero"/>
        <c:auto val="1"/>
        <c:lblAlgn val="ctr"/>
        <c:lblOffset val="100"/>
        <c:noMultiLvlLbl val="0"/>
      </c:catAx>
      <c:valAx>
        <c:axId val="1564057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t>Income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640561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167640</xdr:colOff>
      <xdr:row>0</xdr:row>
      <xdr:rowOff>80010</xdr:rowOff>
    </xdr:from>
    <xdr:to>
      <xdr:col>7</xdr:col>
      <xdr:colOff>419100</xdr:colOff>
      <xdr:row>13</xdr:row>
      <xdr:rowOff>38100</xdr:rowOff>
    </xdr:to>
    <xdr:graphicFrame macro="">
      <xdr:nvGraphicFramePr>
        <xdr:cNvPr id="2" name="Chart 1">
          <a:extLst>
            <a:ext uri="{FF2B5EF4-FFF2-40B4-BE49-F238E27FC236}">
              <a16:creationId xmlns:a16="http://schemas.microsoft.com/office/drawing/2014/main" id="{6FD83A8B-A40F-5D8C-D3E9-E739CCD1F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xdr:colOff>
      <xdr:row>43</xdr:row>
      <xdr:rowOff>57150</xdr:rowOff>
    </xdr:from>
    <xdr:to>
      <xdr:col>6</xdr:col>
      <xdr:colOff>1676400</xdr:colOff>
      <xdr:row>58</xdr:row>
      <xdr:rowOff>57150</xdr:rowOff>
    </xdr:to>
    <xdr:graphicFrame macro="">
      <xdr:nvGraphicFramePr>
        <xdr:cNvPr id="4" name="Chart 3">
          <a:extLst>
            <a:ext uri="{FF2B5EF4-FFF2-40B4-BE49-F238E27FC236}">
              <a16:creationId xmlns:a16="http://schemas.microsoft.com/office/drawing/2014/main" id="{48369335-F32E-BD0D-7729-01E6BDB50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167640</xdr:colOff>
      <xdr:row>21</xdr:row>
      <xdr:rowOff>0</xdr:rowOff>
    </xdr:from>
    <xdr:to>
      <xdr:col>6</xdr:col>
      <xdr:colOff>1744980</xdr:colOff>
      <xdr:row>36</xdr:row>
      <xdr:rowOff>0</xdr:rowOff>
    </xdr:to>
    <xdr:graphicFrame macro="">
      <xdr:nvGraphicFramePr>
        <xdr:cNvPr id="5" name="Chart 4">
          <a:extLst>
            <a:ext uri="{FF2B5EF4-FFF2-40B4-BE49-F238E27FC236}">
              <a16:creationId xmlns:a16="http://schemas.microsoft.com/office/drawing/2014/main" id="{C8935B4F-0073-6A69-D2AE-599765295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xdr:colOff>
      <xdr:row>21</xdr:row>
      <xdr:rowOff>30480</xdr:rowOff>
    </xdr:from>
    <xdr:to>
      <xdr:col>14</xdr:col>
      <xdr:colOff>320040</xdr:colOff>
      <xdr:row>36</xdr:row>
      <xdr:rowOff>30480</xdr:rowOff>
    </xdr:to>
    <xdr:graphicFrame macro="">
      <xdr:nvGraphicFramePr>
        <xdr:cNvPr id="3" name="Chart 2">
          <a:extLst>
            <a:ext uri="{FF2B5EF4-FFF2-40B4-BE49-F238E27FC236}">
              <a16:creationId xmlns:a16="http://schemas.microsoft.com/office/drawing/2014/main" id="{147CDF25-4080-31C5-DDBE-9FAB91770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13855</xdr:colOff>
      <xdr:row>0</xdr:row>
      <xdr:rowOff>13855</xdr:rowOff>
    </xdr:from>
    <xdr:to>
      <xdr:col>20</xdr:col>
      <xdr:colOff>83127</xdr:colOff>
      <xdr:row>45</xdr:row>
      <xdr:rowOff>27709</xdr:rowOff>
    </xdr:to>
    <xdr:sp macro="" textlink="">
      <xdr:nvSpPr>
        <xdr:cNvPr id="6" name="Rectangle 5" hidden="1">
          <a:extLst>
            <a:ext uri="{FF2B5EF4-FFF2-40B4-BE49-F238E27FC236}">
              <a16:creationId xmlns:a16="http://schemas.microsoft.com/office/drawing/2014/main" id="{BAF51D11-04FD-7398-6AA5-B1D5FFBC1203}"/>
            </a:ext>
          </a:extLst>
        </xdr:cNvPr>
        <xdr:cNvSpPr/>
      </xdr:nvSpPr>
      <xdr:spPr>
        <a:xfrm>
          <a:off x="13855" y="13855"/>
          <a:ext cx="12261272" cy="8506690"/>
        </a:xfrm>
        <a:prstGeom prst="rect">
          <a:avLst/>
        </a:prstGeom>
        <a:solidFill>
          <a:schemeClr val="bg2">
            <a:lumMod val="90000"/>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ln>
              <a:solidFill>
                <a:schemeClr val="tx1"/>
              </a:solidFill>
            </a:ln>
          </a:endParaRPr>
        </a:p>
      </xdr:txBody>
    </xdr:sp>
    <xdr:clientData/>
  </xdr:twoCellAnchor>
  <xdr:twoCellAnchor editAs="oneCell">
    <xdr:from>
      <xdr:col>0</xdr:col>
      <xdr:colOff>226849</xdr:colOff>
      <xdr:row>14</xdr:row>
      <xdr:rowOff>88018</xdr:rowOff>
    </xdr:from>
    <xdr:to>
      <xdr:col>3</xdr:col>
      <xdr:colOff>83127</xdr:colOff>
      <xdr:row>20</xdr:row>
      <xdr:rowOff>110836</xdr:rowOff>
    </xdr:to>
    <mc:AlternateContent xmlns:mc="http://schemas.openxmlformats.org/markup-compatibility/2006" xmlns:a14="http://schemas.microsoft.com/office/drawing/2010/main">
      <mc:Choice Requires="a14">
        <xdr:graphicFrame macro="">
          <xdr:nvGraphicFramePr>
            <xdr:cNvPr id="10" name="Mariatal Status">
              <a:extLst>
                <a:ext uri="{FF2B5EF4-FFF2-40B4-BE49-F238E27FC236}">
                  <a16:creationId xmlns:a16="http://schemas.microsoft.com/office/drawing/2014/main" id="{8A2277BC-6FC5-EA1B-AC72-BF4337EB30F4}"/>
                </a:ext>
              </a:extLst>
            </xdr:cNvPr>
            <xdr:cNvGraphicFramePr/>
          </xdr:nvGraphicFramePr>
          <xdr:xfrm>
            <a:off x="0" y="0"/>
            <a:ext cx="0" cy="0"/>
          </xdr:xfrm>
          <a:graphic>
            <a:graphicData uri="http://schemas.microsoft.com/office/drawing/2010/slicer">
              <sle:slicer xmlns:sle="http://schemas.microsoft.com/office/drawing/2010/slicer" name="Mariatal Status"/>
            </a:graphicData>
          </a:graphic>
        </xdr:graphicFrame>
      </mc:Choice>
      <mc:Fallback xmlns="">
        <xdr:sp macro="" textlink="">
          <xdr:nvSpPr>
            <xdr:cNvPr id="0" name=""/>
            <xdr:cNvSpPr>
              <a:spLocks noTextEdit="1"/>
            </xdr:cNvSpPr>
          </xdr:nvSpPr>
          <xdr:spPr>
            <a:xfrm>
              <a:off x="226849" y="2609545"/>
              <a:ext cx="1685078" cy="1103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217066</xdr:colOff>
      <xdr:row>32</xdr:row>
      <xdr:rowOff>12744</xdr:rowOff>
    </xdr:from>
    <xdr:to>
      <xdr:col>3</xdr:col>
      <xdr:colOff>65266</xdr:colOff>
      <xdr:row>42</xdr:row>
      <xdr:rowOff>11653</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105DD064-AF3E-D3E0-B05D-8B888668471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17066" y="5776235"/>
              <a:ext cx="16770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235812</xdr:colOff>
      <xdr:row>22</xdr:row>
      <xdr:rowOff>37381</xdr:rowOff>
    </xdr:from>
    <xdr:to>
      <xdr:col>3</xdr:col>
      <xdr:colOff>84012</xdr:colOff>
      <xdr:row>30</xdr:row>
      <xdr:rowOff>138545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E0561DE-29C4-118E-0CF5-7344E81053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5812" y="3999781"/>
              <a:ext cx="1677000" cy="1542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400560</xdr:colOff>
      <xdr:row>26</xdr:row>
      <xdr:rowOff>145880</xdr:rowOff>
    </xdr:from>
    <xdr:to>
      <xdr:col>20</xdr:col>
      <xdr:colOff>69273</xdr:colOff>
      <xdr:row>40</xdr:row>
      <xdr:rowOff>75588</xdr:rowOff>
    </xdr:to>
    <xdr:graphicFrame macro="">
      <xdr:nvGraphicFramePr>
        <xdr:cNvPr id="9" name="Chart 8">
          <a:extLst>
            <a:ext uri="{FF2B5EF4-FFF2-40B4-BE49-F238E27FC236}">
              <a16:creationId xmlns:a16="http://schemas.microsoft.com/office/drawing/2014/main" id="{A08A98E7-80C5-442C-89FA-5CDAAA918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332509</xdr:colOff>
      <xdr:row>12</xdr:row>
      <xdr:rowOff>9779</xdr:rowOff>
    </xdr:from>
    <xdr:to>
      <xdr:col>20</xdr:col>
      <xdr:colOff>83127</xdr:colOff>
      <xdr:row>26</xdr:row>
      <xdr:rowOff>54602</xdr:rowOff>
    </xdr:to>
    <xdr:graphicFrame macro="">
      <xdr:nvGraphicFramePr>
        <xdr:cNvPr id="2" name="Chart 1">
          <a:extLst>
            <a:ext uri="{FF2B5EF4-FFF2-40B4-BE49-F238E27FC236}">
              <a16:creationId xmlns:a16="http://schemas.microsoft.com/office/drawing/2014/main" id="{AEBB4C08-584F-4E85-955C-4C186250E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415879</xdr:colOff>
      <xdr:row>12</xdr:row>
      <xdr:rowOff>9779</xdr:rowOff>
    </xdr:from>
    <xdr:to>
      <xdr:col>11</xdr:col>
      <xdr:colOff>166252</xdr:colOff>
      <xdr:row>26</xdr:row>
      <xdr:rowOff>55418</xdr:rowOff>
    </xdr:to>
    <xdr:graphicFrame macro="">
      <xdr:nvGraphicFramePr>
        <xdr:cNvPr id="5" name="Chart 4">
          <a:extLst>
            <a:ext uri="{FF2B5EF4-FFF2-40B4-BE49-F238E27FC236}">
              <a16:creationId xmlns:a16="http://schemas.microsoft.com/office/drawing/2014/main" id="{7A00F509-7C18-4B15-B149-BFAD791A9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374073</xdr:colOff>
      <xdr:row>41</xdr:row>
      <xdr:rowOff>13855</xdr:rowOff>
    </xdr:from>
    <xdr:to>
      <xdr:col>20</xdr:col>
      <xdr:colOff>41564</xdr:colOff>
      <xdr:row>49</xdr:row>
      <xdr:rowOff>1</xdr:rowOff>
    </xdr:to>
    <xdr:sp macro="" textlink="">
      <xdr:nvSpPr>
        <xdr:cNvPr id="8" name="Rectangle 7">
          <a:extLst>
            <a:ext uri="{FF2B5EF4-FFF2-40B4-BE49-F238E27FC236}">
              <a16:creationId xmlns:a16="http://schemas.microsoft.com/office/drawing/2014/main" id="{82E726DF-BD67-2358-68BE-DCBCFFC024AD}"/>
            </a:ext>
          </a:extLst>
        </xdr:cNvPr>
        <xdr:cNvSpPr/>
      </xdr:nvSpPr>
      <xdr:spPr>
        <a:xfrm>
          <a:off x="2202873" y="7398328"/>
          <a:ext cx="10030691" cy="1427018"/>
        </a:xfrm>
        <a:prstGeom prst="rect">
          <a:avLst/>
        </a:prstGeom>
        <a:solidFill>
          <a:schemeClr val="tx2">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latin typeface="Arial" panose="020B0604020202020204" pitchFamily="34" charset="0"/>
              <a:cs typeface="Arial" panose="020B0604020202020204" pitchFamily="34" charset="0"/>
            </a:rPr>
            <a:t>KEY INSIGHTS:</a:t>
          </a:r>
        </a:p>
        <a:p>
          <a:pPr algn="l"/>
          <a:r>
            <a:rPr lang="en-IN" sz="2000" b="1">
              <a:solidFill>
                <a:schemeClr val="tx1"/>
              </a:solidFill>
            </a:rPr>
            <a:t>✓ </a:t>
          </a:r>
          <a:r>
            <a:rPr lang="en-IN" sz="1800" b="1">
              <a:solidFill>
                <a:schemeClr val="tx1"/>
              </a:solidFill>
              <a:latin typeface="Arial" panose="020B0604020202020204" pitchFamily="34" charset="0"/>
              <a:cs typeface="Arial" panose="020B0604020202020204" pitchFamily="34" charset="0"/>
            </a:rPr>
            <a:t>Middle-aged customers purchase bikes most frequently.</a:t>
          </a:r>
        </a:p>
        <a:p>
          <a:pPr algn="l"/>
          <a:r>
            <a:rPr lang="en-IN" sz="2000" b="1">
              <a:solidFill>
                <a:schemeClr val="tx1"/>
              </a:solidFill>
              <a:effectLst/>
              <a:latin typeface="+mn-lt"/>
              <a:ea typeface="+mn-ea"/>
              <a:cs typeface="+mn-cs"/>
            </a:rPr>
            <a:t>✓ </a:t>
          </a:r>
          <a:r>
            <a:rPr lang="en-IN" sz="1800" b="1">
              <a:solidFill>
                <a:schemeClr val="tx1"/>
              </a:solidFill>
              <a:latin typeface="Arial" panose="020B0604020202020204" pitchFamily="34" charset="0"/>
              <a:cs typeface="Arial" panose="020B0604020202020204" pitchFamily="34" charset="0"/>
            </a:rPr>
            <a:t>Higher-income customers show greater purchase tendency.</a:t>
          </a:r>
        </a:p>
        <a:p>
          <a:pPr algn="l"/>
          <a:r>
            <a:rPr lang="en-IN" sz="2000" b="1">
              <a:solidFill>
                <a:schemeClr val="tx1"/>
              </a:solidFill>
              <a:effectLst/>
              <a:latin typeface="+mn-lt"/>
              <a:ea typeface="+mn-ea"/>
              <a:cs typeface="+mn-cs"/>
            </a:rPr>
            <a:t>✓ </a:t>
          </a:r>
          <a:r>
            <a:rPr lang="en-IN" sz="1800" b="1">
              <a:solidFill>
                <a:schemeClr val="tx1"/>
              </a:solidFill>
              <a:latin typeface="Arial" panose="020B0604020202020204" pitchFamily="34" charset="0"/>
              <a:cs typeface="Arial" panose="020B0604020202020204" pitchFamily="34" charset="0"/>
            </a:rPr>
            <a:t>Short commute distances correlate with higher bike purchases.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s" refreshedDate="46150.724881365742" createdVersion="8" refreshedVersion="8" minRefreshableVersion="3" recordCount="1000" xr:uid="{B9D2A7D9-CFC4-4EE4-AB57-35B0EC77EF50}">
  <cacheSource type="worksheet">
    <worksheetSource ref="A1:N1001" sheet="Working sheet"/>
  </cacheSource>
  <cacheFields count="14">
    <cacheField name="ID" numFmtId="0">
      <sharedItems containsSemiMixedTypes="0" containsString="0" containsNumber="1" containsInteger="1" minValue="11000" maxValue="29447"/>
    </cacheField>
    <cacheField name="Maria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11690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2"/>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2"/>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2"/>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2"/>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2"/>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2"/>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2"/>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2"/>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2"/>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2"/>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2"/>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2"/>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2"/>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2"/>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2"/>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2"/>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824922-028D-4F85-B075-1964733729BF}" name="PivotTable2" cacheId="0" applyNumberFormats="0" applyBorderFormats="0" applyFontFormats="0" applyPatternFormats="0" applyAlignmentFormats="0" applyWidthHeightFormats="1" dataCaption="Values" updatedVersion="8" minRefreshableVersion="3" useAutoFormatting="1" pageOverThenDown="1" itemPrintTitles="1" createdVersion="8" indent="0" outline="1" outlineData="1" multipleFieldFilters="0" chartFormat="31">
  <location ref="A6:D10"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18" format="0" series="1">
      <pivotArea type="data" outline="0" fieldPosition="0">
        <references count="2">
          <reference field="4294967294" count="1" selected="0">
            <x v="0"/>
          </reference>
          <reference field="13" count="1" selected="0">
            <x v="0"/>
          </reference>
        </references>
      </pivotArea>
    </chartFormat>
    <chartFormat chart="18" format="1" series="1">
      <pivotArea type="data" outline="0" fieldPosition="0">
        <references count="2">
          <reference field="4294967294" count="1" selected="0">
            <x v="0"/>
          </reference>
          <reference field="13" count="1" selected="0">
            <x v="1"/>
          </reference>
        </references>
      </pivotArea>
    </chartFormat>
    <chartFormat chart="24" format="4" series="1">
      <pivotArea type="data" outline="0" fieldPosition="0">
        <references count="2">
          <reference field="4294967294" count="1" selected="0">
            <x v="0"/>
          </reference>
          <reference field="13" count="1" selected="0">
            <x v="0"/>
          </reference>
        </references>
      </pivotArea>
    </chartFormat>
    <chartFormat chart="2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D5FCF4-F843-4535-8DD7-951695200C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7:D5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220A93-7B09-4903-B3D0-22B8B47CB00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5: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atal_Status" xr10:uid="{FDD72102-9584-4D09-9E71-D84C5B0BB5EA}" sourceName="Mariatal Status">
  <pivotTables>
    <pivotTable tabId="3" name="PivotTable2"/>
    <pivotTable tabId="3" name="PivotTable4"/>
    <pivotTable tabId="3" name="PivotTable6"/>
  </pivotTables>
  <data>
    <tabular pivotCacheId="8116904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5874B09-F333-4304-B6D1-6C32A46DC1AC}" sourceName="Education">
  <pivotTables>
    <pivotTable tabId="3" name="PivotTable2"/>
    <pivotTable tabId="3" name="PivotTable4"/>
    <pivotTable tabId="3" name="PivotTable6"/>
  </pivotTables>
  <data>
    <tabular pivotCacheId="81169042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7C03E4-8A54-456A-9AF9-04AD7B0155B7}" sourceName="Region">
  <pivotTables>
    <pivotTable tabId="3" name="PivotTable2"/>
    <pivotTable tabId="3" name="PivotTable4"/>
    <pivotTable tabId="3" name="PivotTable6"/>
  </pivotTables>
  <data>
    <tabular pivotCacheId="8116904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atal Status" xr10:uid="{BD4F4677-FB0A-440C-A8CE-C34E884E57FE}" cache="Slicer_Mariatal_Status" caption="Mariatal Status" rowHeight="360000"/>
  <slicer name="Education" xr10:uid="{24EBF134-F80C-4114-8A1B-15BB5DB5D0FC}" cache="Slicer_Education" caption="Education" rowHeight="360000"/>
  <slicer name="Region" xr10:uid="{DC68408A-0EBF-45C8-8FC0-39118B92F965}" cache="Slicer_Region" caption="Region"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557F2-A518-41A0-B691-D85AEE5D4E45}">
  <dimension ref="A1:N1001"/>
  <sheetViews>
    <sheetView workbookViewId="0">
      <selection activeCell="O1" sqref="O1"/>
    </sheetView>
  </sheetViews>
  <sheetFormatPr defaultRowHeight="14.4" x14ac:dyDescent="0.3"/>
  <cols>
    <col min="1" max="1" width="6" bestFit="1" customWidth="1"/>
    <col min="2" max="2" width="15.6640625" bestFit="1" customWidth="1"/>
    <col min="3" max="3" width="9.109375" bestFit="1" customWidth="1"/>
    <col min="4" max="4" width="11.8867187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38</v>
      </c>
      <c r="C1" t="s">
        <v>2</v>
      </c>
      <c r="D1" s="3" t="s">
        <v>3</v>
      </c>
      <c r="E1" t="s">
        <v>4</v>
      </c>
      <c r="F1" t="s">
        <v>5</v>
      </c>
      <c r="G1" t="s">
        <v>6</v>
      </c>
      <c r="H1" t="s">
        <v>7</v>
      </c>
      <c r="I1" t="s">
        <v>8</v>
      </c>
      <c r="J1" t="s">
        <v>9</v>
      </c>
      <c r="K1" t="s">
        <v>10</v>
      </c>
      <c r="L1" t="s">
        <v>11</v>
      </c>
      <c r="M1" t="s">
        <v>41</v>
      </c>
      <c r="N1" t="s">
        <v>12</v>
      </c>
    </row>
    <row r="2" spans="1:14" x14ac:dyDescent="0.3">
      <c r="A2">
        <v>12496</v>
      </c>
      <c r="B2" t="s">
        <v>36</v>
      </c>
      <c r="C2" t="s">
        <v>40</v>
      </c>
      <c r="D2" s="3">
        <v>40000</v>
      </c>
      <c r="E2">
        <v>1</v>
      </c>
      <c r="F2" t="s">
        <v>13</v>
      </c>
      <c r="G2" t="s">
        <v>14</v>
      </c>
      <c r="H2" t="s">
        <v>15</v>
      </c>
      <c r="I2">
        <v>0</v>
      </c>
      <c r="J2" t="s">
        <v>16</v>
      </c>
      <c r="K2" t="s">
        <v>17</v>
      </c>
      <c r="L2">
        <v>42</v>
      </c>
      <c r="M2" t="str">
        <f>IF(L2&gt;54,"Old",IF(L2&gt;31,"Middle Age","Adolescent"))</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Age","Adolescent"))</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40</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40</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40</v>
      </c>
      <c r="D13" s="3">
        <v>90000</v>
      </c>
      <c r="E13">
        <v>0</v>
      </c>
      <c r="F13" t="s">
        <v>13</v>
      </c>
      <c r="G13" t="s">
        <v>21</v>
      </c>
      <c r="H13" t="s">
        <v>18</v>
      </c>
      <c r="I13">
        <v>4</v>
      </c>
      <c r="J13" t="s">
        <v>42</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40</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40</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40</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40</v>
      </c>
      <c r="D23" s="3">
        <v>80000</v>
      </c>
      <c r="E23">
        <v>0</v>
      </c>
      <c r="F23" t="s">
        <v>13</v>
      </c>
      <c r="G23" t="s">
        <v>21</v>
      </c>
      <c r="H23" t="s">
        <v>15</v>
      </c>
      <c r="I23">
        <v>4</v>
      </c>
      <c r="J23" t="s">
        <v>42</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40</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40</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40</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40</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40</v>
      </c>
      <c r="D34" s="3">
        <v>20000</v>
      </c>
      <c r="E34">
        <v>0</v>
      </c>
      <c r="F34" t="s">
        <v>27</v>
      </c>
      <c r="G34" t="s">
        <v>25</v>
      </c>
      <c r="H34" t="s">
        <v>18</v>
      </c>
      <c r="I34">
        <v>1</v>
      </c>
      <c r="J34" t="s">
        <v>23</v>
      </c>
      <c r="K34" t="s">
        <v>17</v>
      </c>
      <c r="L34">
        <v>31</v>
      </c>
      <c r="M34" t="str">
        <f t="shared" si="0"/>
        <v>Adolescent</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40</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40</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40</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40</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40</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40</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40</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40</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40</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40</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40</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40</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40</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42</v>
      </c>
      <c r="K53" t="s">
        <v>24</v>
      </c>
      <c r="L53">
        <v>35</v>
      </c>
      <c r="M53" t="str">
        <f t="shared" si="0"/>
        <v>Middle Age</v>
      </c>
      <c r="N53" t="s">
        <v>18</v>
      </c>
    </row>
    <row r="54" spans="1:14" x14ac:dyDescent="0.3">
      <c r="A54">
        <v>12558</v>
      </c>
      <c r="B54" t="s">
        <v>36</v>
      </c>
      <c r="C54" t="s">
        <v>40</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40</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40</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42</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40</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40</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40</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42</v>
      </c>
      <c r="K65" t="s">
        <v>24</v>
      </c>
      <c r="L65">
        <v>41</v>
      </c>
      <c r="M65" t="str">
        <f t="shared" si="0"/>
        <v>Middle Age</v>
      </c>
      <c r="N65" t="s">
        <v>18</v>
      </c>
    </row>
    <row r="66" spans="1:14" x14ac:dyDescent="0.3">
      <c r="A66">
        <v>14927</v>
      </c>
      <c r="B66" t="s">
        <v>36</v>
      </c>
      <c r="C66" t="s">
        <v>40</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Age","Adolescent"))</f>
        <v>Old</v>
      </c>
      <c r="N67" t="s">
        <v>18</v>
      </c>
    </row>
    <row r="68" spans="1:14" x14ac:dyDescent="0.3">
      <c r="A68">
        <v>29355</v>
      </c>
      <c r="B68" t="s">
        <v>36</v>
      </c>
      <c r="C68" t="s">
        <v>40</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40</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40</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42</v>
      </c>
      <c r="K72" t="s">
        <v>24</v>
      </c>
      <c r="L72">
        <v>36</v>
      </c>
      <c r="M72" t="str">
        <f t="shared" si="1"/>
        <v>Middle Age</v>
      </c>
      <c r="N72" t="s">
        <v>15</v>
      </c>
    </row>
    <row r="73" spans="1:14" x14ac:dyDescent="0.3">
      <c r="A73">
        <v>16200</v>
      </c>
      <c r="B73" t="s">
        <v>37</v>
      </c>
      <c r="C73" t="s">
        <v>40</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40</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40</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40</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40</v>
      </c>
      <c r="D77" s="3">
        <v>130000</v>
      </c>
      <c r="E77">
        <v>4</v>
      </c>
      <c r="F77" t="s">
        <v>27</v>
      </c>
      <c r="G77" t="s">
        <v>28</v>
      </c>
      <c r="H77" t="s">
        <v>15</v>
      </c>
      <c r="I77">
        <v>4</v>
      </c>
      <c r="J77" t="s">
        <v>16</v>
      </c>
      <c r="K77" t="s">
        <v>24</v>
      </c>
      <c r="L77">
        <v>31</v>
      </c>
      <c r="M77" t="str">
        <f t="shared" si="1"/>
        <v>Adolescent</v>
      </c>
      <c r="N77" t="s">
        <v>18</v>
      </c>
    </row>
    <row r="78" spans="1:14" x14ac:dyDescent="0.3">
      <c r="A78">
        <v>16188</v>
      </c>
      <c r="B78" t="s">
        <v>37</v>
      </c>
      <c r="C78" t="s">
        <v>40</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42</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40</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40</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40</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40</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40</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40</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40</v>
      </c>
      <c r="D97" s="3">
        <v>90000</v>
      </c>
      <c r="E97">
        <v>5</v>
      </c>
      <c r="F97" t="s">
        <v>19</v>
      </c>
      <c r="G97" t="s">
        <v>21</v>
      </c>
      <c r="H97" t="s">
        <v>15</v>
      </c>
      <c r="I97">
        <v>2</v>
      </c>
      <c r="J97" t="s">
        <v>42</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40</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40</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40</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40</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40</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40</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40</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40</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40</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40</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40</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40</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40</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40</v>
      </c>
      <c r="D124" s="3">
        <v>80000</v>
      </c>
      <c r="E124">
        <v>0</v>
      </c>
      <c r="F124" t="s">
        <v>13</v>
      </c>
      <c r="G124" t="s">
        <v>21</v>
      </c>
      <c r="H124" t="s">
        <v>18</v>
      </c>
      <c r="I124">
        <v>3</v>
      </c>
      <c r="J124" t="s">
        <v>42</v>
      </c>
      <c r="K124" t="s">
        <v>24</v>
      </c>
      <c r="L124">
        <v>31</v>
      </c>
      <c r="M124" t="str">
        <f t="shared" si="1"/>
        <v>Adolescent</v>
      </c>
      <c r="N124" t="s">
        <v>18</v>
      </c>
    </row>
    <row r="125" spans="1:14" x14ac:dyDescent="0.3">
      <c r="A125">
        <v>23627</v>
      </c>
      <c r="B125" t="s">
        <v>37</v>
      </c>
      <c r="C125" t="s">
        <v>40</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40</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Age","Adolescent"))</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40</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40</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40</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40</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40</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40</v>
      </c>
      <c r="D145" s="3">
        <v>80000</v>
      </c>
      <c r="E145">
        <v>0</v>
      </c>
      <c r="F145" t="s">
        <v>13</v>
      </c>
      <c r="G145" t="s">
        <v>21</v>
      </c>
      <c r="H145" t="s">
        <v>15</v>
      </c>
      <c r="I145">
        <v>3</v>
      </c>
      <c r="J145" t="s">
        <v>42</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40</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40</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40</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40</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40</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40</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40</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40</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40</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40</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40</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42</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40</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40</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40</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40</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40</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40</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42</v>
      </c>
      <c r="K180" t="s">
        <v>17</v>
      </c>
      <c r="L180">
        <v>55</v>
      </c>
      <c r="M180" t="str">
        <f t="shared" si="2"/>
        <v>Old</v>
      </c>
      <c r="N180" t="s">
        <v>15</v>
      </c>
    </row>
    <row r="181" spans="1:14" x14ac:dyDescent="0.3">
      <c r="A181">
        <v>12212</v>
      </c>
      <c r="B181" t="s">
        <v>36</v>
      </c>
      <c r="C181" t="s">
        <v>40</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40</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40</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40</v>
      </c>
      <c r="D186" s="3">
        <v>130000</v>
      </c>
      <c r="E186">
        <v>4</v>
      </c>
      <c r="F186" t="s">
        <v>27</v>
      </c>
      <c r="G186" t="s">
        <v>28</v>
      </c>
      <c r="H186" t="s">
        <v>18</v>
      </c>
      <c r="I186">
        <v>4</v>
      </c>
      <c r="J186" t="s">
        <v>42</v>
      </c>
      <c r="K186" t="s">
        <v>17</v>
      </c>
      <c r="L186">
        <v>58</v>
      </c>
      <c r="M186" t="str">
        <f t="shared" si="2"/>
        <v>Old</v>
      </c>
      <c r="N186" t="s">
        <v>18</v>
      </c>
    </row>
    <row r="187" spans="1:14" x14ac:dyDescent="0.3">
      <c r="A187">
        <v>15799</v>
      </c>
      <c r="B187" t="s">
        <v>36</v>
      </c>
      <c r="C187" t="s">
        <v>40</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40</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42</v>
      </c>
      <c r="K189" t="s">
        <v>17</v>
      </c>
      <c r="L189">
        <v>59</v>
      </c>
      <c r="M189" t="str">
        <f t="shared" si="2"/>
        <v>Old</v>
      </c>
      <c r="N189" t="s">
        <v>18</v>
      </c>
    </row>
    <row r="190" spans="1:14" x14ac:dyDescent="0.3">
      <c r="A190">
        <v>20606</v>
      </c>
      <c r="B190" t="s">
        <v>36</v>
      </c>
      <c r="C190" t="s">
        <v>40</v>
      </c>
      <c r="D190" s="3">
        <v>70000</v>
      </c>
      <c r="E190">
        <v>0</v>
      </c>
      <c r="F190" t="s">
        <v>13</v>
      </c>
      <c r="G190" t="s">
        <v>21</v>
      </c>
      <c r="H190" t="s">
        <v>15</v>
      </c>
      <c r="I190">
        <v>4</v>
      </c>
      <c r="J190" t="s">
        <v>42</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40</v>
      </c>
      <c r="D194" s="3">
        <v>80000</v>
      </c>
      <c r="E194">
        <v>5</v>
      </c>
      <c r="F194" t="s">
        <v>13</v>
      </c>
      <c r="G194" t="s">
        <v>28</v>
      </c>
      <c r="H194" t="s">
        <v>15</v>
      </c>
      <c r="I194">
        <v>2</v>
      </c>
      <c r="J194" t="s">
        <v>42</v>
      </c>
      <c r="K194" t="s">
        <v>17</v>
      </c>
      <c r="L194">
        <v>62</v>
      </c>
      <c r="M194" t="str">
        <f t="shared" si="2"/>
        <v>Old</v>
      </c>
      <c r="N194" t="s">
        <v>18</v>
      </c>
    </row>
    <row r="195" spans="1:14" x14ac:dyDescent="0.3">
      <c r="A195">
        <v>26032</v>
      </c>
      <c r="B195" t="s">
        <v>36</v>
      </c>
      <c r="C195" t="s">
        <v>40</v>
      </c>
      <c r="D195" s="3">
        <v>70000</v>
      </c>
      <c r="E195">
        <v>5</v>
      </c>
      <c r="F195" t="s">
        <v>13</v>
      </c>
      <c r="G195" t="s">
        <v>21</v>
      </c>
      <c r="H195" t="s">
        <v>15</v>
      </c>
      <c r="I195">
        <v>4</v>
      </c>
      <c r="J195" t="s">
        <v>42</v>
      </c>
      <c r="K195" t="s">
        <v>24</v>
      </c>
      <c r="L195">
        <v>41</v>
      </c>
      <c r="M195" t="str">
        <f t="shared" ref="M195:M258" si="3">IF(L195&gt;54,"Old",IF(L195&gt;31,"Middle Age","Adolescent"))</f>
        <v>Middle Age</v>
      </c>
      <c r="N195" t="s">
        <v>18</v>
      </c>
    </row>
    <row r="196" spans="1:14" x14ac:dyDescent="0.3">
      <c r="A196">
        <v>17843</v>
      </c>
      <c r="B196" t="s">
        <v>37</v>
      </c>
      <c r="C196" t="s">
        <v>40</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40</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40</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42</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Adolescent</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40</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40</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42</v>
      </c>
      <c r="K208" t="s">
        <v>17</v>
      </c>
      <c r="L208">
        <v>62</v>
      </c>
      <c r="M208" t="str">
        <f t="shared" si="3"/>
        <v>Old</v>
      </c>
      <c r="N208" t="s">
        <v>18</v>
      </c>
    </row>
    <row r="209" spans="1:14" x14ac:dyDescent="0.3">
      <c r="A209">
        <v>28729</v>
      </c>
      <c r="B209" t="s">
        <v>37</v>
      </c>
      <c r="C209" t="s">
        <v>40</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40</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40</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40</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40</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40</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42</v>
      </c>
      <c r="K215" t="s">
        <v>24</v>
      </c>
      <c r="L215">
        <v>31</v>
      </c>
      <c r="M215" t="str">
        <f t="shared" si="3"/>
        <v>Adolescent</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40</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40</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40</v>
      </c>
      <c r="D225" s="3">
        <v>70000</v>
      </c>
      <c r="E225">
        <v>5</v>
      </c>
      <c r="F225" t="s">
        <v>13</v>
      </c>
      <c r="G225" t="s">
        <v>21</v>
      </c>
      <c r="H225" t="s">
        <v>15</v>
      </c>
      <c r="I225">
        <v>4</v>
      </c>
      <c r="J225" t="s">
        <v>42</v>
      </c>
      <c r="K225" t="s">
        <v>24</v>
      </c>
      <c r="L225">
        <v>39</v>
      </c>
      <c r="M225" t="str">
        <f t="shared" si="3"/>
        <v>Middle Age</v>
      </c>
      <c r="N225" t="s">
        <v>18</v>
      </c>
    </row>
    <row r="226" spans="1:14" x14ac:dyDescent="0.3">
      <c r="A226">
        <v>19650</v>
      </c>
      <c r="B226" t="s">
        <v>36</v>
      </c>
      <c r="C226" t="s">
        <v>40</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40</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40</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42</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42</v>
      </c>
      <c r="K232" t="s">
        <v>17</v>
      </c>
      <c r="L232">
        <v>56</v>
      </c>
      <c r="M232" t="str">
        <f t="shared" si="3"/>
        <v>Old</v>
      </c>
      <c r="N232" t="s">
        <v>18</v>
      </c>
    </row>
    <row r="233" spans="1:14" x14ac:dyDescent="0.3">
      <c r="A233">
        <v>14777</v>
      </c>
      <c r="B233" t="s">
        <v>36</v>
      </c>
      <c r="C233" t="s">
        <v>40</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40</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42</v>
      </c>
      <c r="K236" t="s">
        <v>24</v>
      </c>
      <c r="L236">
        <v>35</v>
      </c>
      <c r="M236" t="str">
        <f t="shared" si="3"/>
        <v>Middle Age</v>
      </c>
      <c r="N236" t="s">
        <v>15</v>
      </c>
    </row>
    <row r="237" spans="1:14" x14ac:dyDescent="0.3">
      <c r="A237">
        <v>11340</v>
      </c>
      <c r="B237" t="s">
        <v>36</v>
      </c>
      <c r="C237" t="s">
        <v>40</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40</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40</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40</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40</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40</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40</v>
      </c>
      <c r="D246" s="3">
        <v>120000</v>
      </c>
      <c r="E246">
        <v>3</v>
      </c>
      <c r="F246" t="s">
        <v>13</v>
      </c>
      <c r="G246" t="s">
        <v>28</v>
      </c>
      <c r="H246" t="s">
        <v>18</v>
      </c>
      <c r="I246">
        <v>2</v>
      </c>
      <c r="J246" t="s">
        <v>42</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40</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40</v>
      </c>
      <c r="D249" s="3">
        <v>100000</v>
      </c>
      <c r="E249">
        <v>0</v>
      </c>
      <c r="F249" t="s">
        <v>27</v>
      </c>
      <c r="G249" t="s">
        <v>28</v>
      </c>
      <c r="H249" t="s">
        <v>15</v>
      </c>
      <c r="I249">
        <v>4</v>
      </c>
      <c r="J249" t="s">
        <v>42</v>
      </c>
      <c r="K249" t="s">
        <v>24</v>
      </c>
      <c r="L249">
        <v>34</v>
      </c>
      <c r="M249" t="str">
        <f t="shared" si="3"/>
        <v>Middle Age</v>
      </c>
      <c r="N249" t="s">
        <v>15</v>
      </c>
    </row>
    <row r="250" spans="1:14" x14ac:dyDescent="0.3">
      <c r="A250">
        <v>13981</v>
      </c>
      <c r="B250" t="s">
        <v>36</v>
      </c>
      <c r="C250" t="s">
        <v>40</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Adolescent</v>
      </c>
      <c r="N254" t="s">
        <v>18</v>
      </c>
    </row>
    <row r="255" spans="1:14" x14ac:dyDescent="0.3">
      <c r="A255">
        <v>20598</v>
      </c>
      <c r="B255" t="s">
        <v>36</v>
      </c>
      <c r="C255" t="s">
        <v>39</v>
      </c>
      <c r="D255" s="3">
        <v>100000</v>
      </c>
      <c r="E255">
        <v>3</v>
      </c>
      <c r="F255" t="s">
        <v>29</v>
      </c>
      <c r="G255" t="s">
        <v>21</v>
      </c>
      <c r="H255" t="s">
        <v>15</v>
      </c>
      <c r="I255">
        <v>0</v>
      </c>
      <c r="J255" t="s">
        <v>42</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40</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40</v>
      </c>
      <c r="D259" s="3">
        <v>50000</v>
      </c>
      <c r="E259">
        <v>0</v>
      </c>
      <c r="F259" t="s">
        <v>31</v>
      </c>
      <c r="G259" t="s">
        <v>14</v>
      </c>
      <c r="H259" t="s">
        <v>15</v>
      </c>
      <c r="I259">
        <v>0</v>
      </c>
      <c r="J259" t="s">
        <v>16</v>
      </c>
      <c r="K259" t="s">
        <v>17</v>
      </c>
      <c r="L259">
        <v>36</v>
      </c>
      <c r="M259" t="str">
        <f t="shared" ref="M259:M322" si="4">IF(L259&gt;54,"Old",IF(L259&gt;31,"Middle Age","Adolescent"))</f>
        <v>Middle Age</v>
      </c>
      <c r="N259" t="s">
        <v>15</v>
      </c>
    </row>
    <row r="260" spans="1:14" x14ac:dyDescent="0.3">
      <c r="A260">
        <v>14193</v>
      </c>
      <c r="B260" t="s">
        <v>37</v>
      </c>
      <c r="C260" t="s">
        <v>40</v>
      </c>
      <c r="D260" s="3">
        <v>100000</v>
      </c>
      <c r="E260">
        <v>3</v>
      </c>
      <c r="F260" t="s">
        <v>19</v>
      </c>
      <c r="G260" t="s">
        <v>28</v>
      </c>
      <c r="H260" t="s">
        <v>15</v>
      </c>
      <c r="I260">
        <v>4</v>
      </c>
      <c r="J260" t="s">
        <v>42</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40</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40</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40</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40</v>
      </c>
      <c r="D265" s="3">
        <v>70000</v>
      </c>
      <c r="E265">
        <v>5</v>
      </c>
      <c r="F265" t="s">
        <v>13</v>
      </c>
      <c r="G265" t="s">
        <v>21</v>
      </c>
      <c r="H265" t="s">
        <v>15</v>
      </c>
      <c r="I265">
        <v>3</v>
      </c>
      <c r="J265" t="s">
        <v>42</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40</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40</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40</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40</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40</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40</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40</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40</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40</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40</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42</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40</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40</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40</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40</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40</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40</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40</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40</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40</v>
      </c>
      <c r="D297" s="3">
        <v>110000</v>
      </c>
      <c r="E297">
        <v>0</v>
      </c>
      <c r="F297" t="s">
        <v>19</v>
      </c>
      <c r="G297" t="s">
        <v>28</v>
      </c>
      <c r="H297" t="s">
        <v>15</v>
      </c>
      <c r="I297">
        <v>3</v>
      </c>
      <c r="J297" t="s">
        <v>42</v>
      </c>
      <c r="K297" t="s">
        <v>24</v>
      </c>
      <c r="L297">
        <v>32</v>
      </c>
      <c r="M297" t="str">
        <f t="shared" si="4"/>
        <v>Middle Age</v>
      </c>
      <c r="N297" t="s">
        <v>15</v>
      </c>
    </row>
    <row r="298" spans="1:14" x14ac:dyDescent="0.3">
      <c r="A298">
        <v>26663</v>
      </c>
      <c r="B298" t="s">
        <v>37</v>
      </c>
      <c r="C298" t="s">
        <v>40</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40</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40</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40</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40</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40</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40</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42</v>
      </c>
      <c r="K320" t="s">
        <v>17</v>
      </c>
      <c r="L320">
        <v>54</v>
      </c>
      <c r="M320" t="str">
        <f t="shared" si="4"/>
        <v>Middle Age</v>
      </c>
      <c r="N320" t="s">
        <v>18</v>
      </c>
    </row>
    <row r="321" spans="1:14" x14ac:dyDescent="0.3">
      <c r="A321">
        <v>11386</v>
      </c>
      <c r="B321" t="s">
        <v>36</v>
      </c>
      <c r="C321" t="s">
        <v>40</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40</v>
      </c>
      <c r="D323" s="3">
        <v>160000</v>
      </c>
      <c r="E323">
        <v>0</v>
      </c>
      <c r="F323" t="s">
        <v>31</v>
      </c>
      <c r="G323" t="s">
        <v>28</v>
      </c>
      <c r="H323" t="s">
        <v>18</v>
      </c>
      <c r="I323">
        <v>3</v>
      </c>
      <c r="J323" t="s">
        <v>16</v>
      </c>
      <c r="K323" t="s">
        <v>24</v>
      </c>
      <c r="L323">
        <v>47</v>
      </c>
      <c r="M323" t="str">
        <f t="shared" ref="M323:M386" si="5">IF(L323&gt;54,"Old",IF(L323&gt;31,"Middle Age","Adolescent"))</f>
        <v>Middle Age</v>
      </c>
      <c r="N323" t="s">
        <v>15</v>
      </c>
    </row>
    <row r="324" spans="1:14" x14ac:dyDescent="0.3">
      <c r="A324">
        <v>16410</v>
      </c>
      <c r="B324" t="s">
        <v>37</v>
      </c>
      <c r="C324" t="s">
        <v>40</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40</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40</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40</v>
      </c>
      <c r="D331" s="3">
        <v>90000</v>
      </c>
      <c r="E331">
        <v>5</v>
      </c>
      <c r="F331" t="s">
        <v>29</v>
      </c>
      <c r="G331" t="s">
        <v>14</v>
      </c>
      <c r="H331" t="s">
        <v>15</v>
      </c>
      <c r="I331">
        <v>2</v>
      </c>
      <c r="J331" t="s">
        <v>42</v>
      </c>
      <c r="K331" t="s">
        <v>17</v>
      </c>
      <c r="L331">
        <v>59</v>
      </c>
      <c r="M331" t="str">
        <f t="shared" si="5"/>
        <v>Old</v>
      </c>
      <c r="N331" t="s">
        <v>18</v>
      </c>
    </row>
    <row r="332" spans="1:14" x14ac:dyDescent="0.3">
      <c r="A332">
        <v>24898</v>
      </c>
      <c r="B332" t="s">
        <v>37</v>
      </c>
      <c r="C332" t="s">
        <v>40</v>
      </c>
      <c r="D332" s="3">
        <v>80000</v>
      </c>
      <c r="E332">
        <v>0</v>
      </c>
      <c r="F332" t="s">
        <v>13</v>
      </c>
      <c r="G332" t="s">
        <v>21</v>
      </c>
      <c r="H332" t="s">
        <v>15</v>
      </c>
      <c r="I332">
        <v>3</v>
      </c>
      <c r="J332" t="s">
        <v>42</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40</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40</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40</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40</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Adolescent</v>
      </c>
      <c r="N346" t="s">
        <v>15</v>
      </c>
    </row>
    <row r="347" spans="1:14" x14ac:dyDescent="0.3">
      <c r="A347">
        <v>17894</v>
      </c>
      <c r="B347" t="s">
        <v>36</v>
      </c>
      <c r="C347" t="s">
        <v>40</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40</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40</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40</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42</v>
      </c>
      <c r="K357" t="s">
        <v>24</v>
      </c>
      <c r="L357">
        <v>32</v>
      </c>
      <c r="M357" t="str">
        <f t="shared" si="5"/>
        <v>Middle Age</v>
      </c>
      <c r="N357" t="s">
        <v>18</v>
      </c>
    </row>
    <row r="358" spans="1:14" x14ac:dyDescent="0.3">
      <c r="A358">
        <v>23608</v>
      </c>
      <c r="B358" t="s">
        <v>36</v>
      </c>
      <c r="C358" t="s">
        <v>40</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40</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42</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40</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40</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40</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40</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40</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40</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40</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40</v>
      </c>
      <c r="D372" s="3">
        <v>100000</v>
      </c>
      <c r="E372">
        <v>4</v>
      </c>
      <c r="F372" t="s">
        <v>13</v>
      </c>
      <c r="G372" t="s">
        <v>21</v>
      </c>
      <c r="H372" t="s">
        <v>15</v>
      </c>
      <c r="I372">
        <v>1</v>
      </c>
      <c r="J372" t="s">
        <v>42</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40</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40</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42</v>
      </c>
      <c r="K382" t="s">
        <v>24</v>
      </c>
      <c r="L382">
        <v>30</v>
      </c>
      <c r="M382" t="str">
        <f t="shared" si="5"/>
        <v>Adolescent</v>
      </c>
      <c r="N382" t="s">
        <v>15</v>
      </c>
    </row>
    <row r="383" spans="1:14" x14ac:dyDescent="0.3">
      <c r="A383">
        <v>22974</v>
      </c>
      <c r="B383" t="s">
        <v>36</v>
      </c>
      <c r="C383" t="s">
        <v>40</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42</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40</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Age","Adolescent"))</f>
        <v>Middle Age</v>
      </c>
      <c r="N387" t="s">
        <v>18</v>
      </c>
    </row>
    <row r="388" spans="1:14" x14ac:dyDescent="0.3">
      <c r="A388">
        <v>28957</v>
      </c>
      <c r="B388" t="s">
        <v>37</v>
      </c>
      <c r="C388" t="s">
        <v>40</v>
      </c>
      <c r="D388" s="3">
        <v>120000</v>
      </c>
      <c r="E388">
        <v>0</v>
      </c>
      <c r="F388" t="s">
        <v>29</v>
      </c>
      <c r="G388" t="s">
        <v>21</v>
      </c>
      <c r="H388" t="s">
        <v>15</v>
      </c>
      <c r="I388">
        <v>4</v>
      </c>
      <c r="J388" t="s">
        <v>42</v>
      </c>
      <c r="K388" t="s">
        <v>24</v>
      </c>
      <c r="L388">
        <v>34</v>
      </c>
      <c r="M388" t="str">
        <f t="shared" si="6"/>
        <v>Middle Age</v>
      </c>
      <c r="N388" t="s">
        <v>15</v>
      </c>
    </row>
    <row r="389" spans="1:14" x14ac:dyDescent="0.3">
      <c r="A389">
        <v>13690</v>
      </c>
      <c r="B389" t="s">
        <v>37</v>
      </c>
      <c r="C389" t="s">
        <v>40</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40</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40</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40</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40</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40</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40</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40</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40</v>
      </c>
      <c r="D402" s="3">
        <v>110000</v>
      </c>
      <c r="E402">
        <v>3</v>
      </c>
      <c r="F402" t="s">
        <v>13</v>
      </c>
      <c r="G402" t="s">
        <v>28</v>
      </c>
      <c r="H402" t="s">
        <v>15</v>
      </c>
      <c r="I402">
        <v>4</v>
      </c>
      <c r="J402" t="s">
        <v>42</v>
      </c>
      <c r="K402" t="s">
        <v>17</v>
      </c>
      <c r="L402">
        <v>53</v>
      </c>
      <c r="M402" t="str">
        <f t="shared" si="6"/>
        <v>Middle Age</v>
      </c>
      <c r="N402" t="s">
        <v>18</v>
      </c>
    </row>
    <row r="403" spans="1:14" x14ac:dyDescent="0.3">
      <c r="A403">
        <v>11555</v>
      </c>
      <c r="B403" t="s">
        <v>36</v>
      </c>
      <c r="C403" t="s">
        <v>40</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40</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40</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40</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40</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40</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40</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40</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40</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40</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40</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40</v>
      </c>
      <c r="D422" s="3">
        <v>100000</v>
      </c>
      <c r="E422">
        <v>2</v>
      </c>
      <c r="F422" t="s">
        <v>13</v>
      </c>
      <c r="G422" t="s">
        <v>28</v>
      </c>
      <c r="H422" t="s">
        <v>15</v>
      </c>
      <c r="I422">
        <v>4</v>
      </c>
      <c r="J422" t="s">
        <v>42</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42</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40</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40</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40</v>
      </c>
      <c r="D431" s="3">
        <v>30000</v>
      </c>
      <c r="E431">
        <v>0</v>
      </c>
      <c r="F431" t="s">
        <v>19</v>
      </c>
      <c r="G431" t="s">
        <v>20</v>
      </c>
      <c r="H431" t="s">
        <v>15</v>
      </c>
      <c r="I431">
        <v>1</v>
      </c>
      <c r="J431" t="s">
        <v>22</v>
      </c>
      <c r="K431" t="s">
        <v>17</v>
      </c>
      <c r="L431">
        <v>31</v>
      </c>
      <c r="M431" t="str">
        <f t="shared" si="6"/>
        <v>Adolescent</v>
      </c>
      <c r="N431" t="s">
        <v>18</v>
      </c>
    </row>
    <row r="432" spans="1:14" x14ac:dyDescent="0.3">
      <c r="A432">
        <v>15019</v>
      </c>
      <c r="B432" t="s">
        <v>37</v>
      </c>
      <c r="C432" t="s">
        <v>40</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40</v>
      </c>
      <c r="D434" s="3">
        <v>110000</v>
      </c>
      <c r="E434">
        <v>0</v>
      </c>
      <c r="F434" t="s">
        <v>27</v>
      </c>
      <c r="G434" t="s">
        <v>28</v>
      </c>
      <c r="H434" t="s">
        <v>15</v>
      </c>
      <c r="I434">
        <v>3</v>
      </c>
      <c r="J434" t="s">
        <v>42</v>
      </c>
      <c r="K434" t="s">
        <v>24</v>
      </c>
      <c r="L434">
        <v>34</v>
      </c>
      <c r="M434" t="str">
        <f t="shared" si="6"/>
        <v>Middle Age</v>
      </c>
      <c r="N434" t="s">
        <v>15</v>
      </c>
    </row>
    <row r="435" spans="1:14" x14ac:dyDescent="0.3">
      <c r="A435">
        <v>27814</v>
      </c>
      <c r="B435" t="s">
        <v>37</v>
      </c>
      <c r="C435" t="s">
        <v>40</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40</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40</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40</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40</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40</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42</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40</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40</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40</v>
      </c>
      <c r="D448" s="3">
        <v>130000</v>
      </c>
      <c r="E448">
        <v>0</v>
      </c>
      <c r="F448" t="s">
        <v>31</v>
      </c>
      <c r="G448" t="s">
        <v>28</v>
      </c>
      <c r="H448" t="s">
        <v>15</v>
      </c>
      <c r="I448">
        <v>1</v>
      </c>
      <c r="J448" t="s">
        <v>42</v>
      </c>
      <c r="K448" t="s">
        <v>24</v>
      </c>
      <c r="L448">
        <v>48</v>
      </c>
      <c r="M448" t="str">
        <f t="shared" si="6"/>
        <v>Middle Age</v>
      </c>
      <c r="N448" t="s">
        <v>18</v>
      </c>
    </row>
    <row r="449" spans="1:14" x14ac:dyDescent="0.3">
      <c r="A449">
        <v>20711</v>
      </c>
      <c r="B449" t="s">
        <v>36</v>
      </c>
      <c r="C449" t="s">
        <v>40</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40</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40</v>
      </c>
      <c r="D451" s="3">
        <v>40000</v>
      </c>
      <c r="E451">
        <v>1</v>
      </c>
      <c r="F451" t="s">
        <v>13</v>
      </c>
      <c r="G451" t="s">
        <v>14</v>
      </c>
      <c r="H451" t="s">
        <v>15</v>
      </c>
      <c r="I451">
        <v>0</v>
      </c>
      <c r="J451" t="s">
        <v>16</v>
      </c>
      <c r="K451" t="s">
        <v>17</v>
      </c>
      <c r="L451">
        <v>42</v>
      </c>
      <c r="M451" t="str">
        <f t="shared" ref="M451:M514" si="7">IF(L451&gt;54,"Old",IF(L451&gt;31,"Middle Age","Adolescent"))</f>
        <v>Middle Age</v>
      </c>
      <c r="N451" t="s">
        <v>18</v>
      </c>
    </row>
    <row r="452" spans="1:14" x14ac:dyDescent="0.3">
      <c r="A452">
        <v>16559</v>
      </c>
      <c r="B452" t="s">
        <v>37</v>
      </c>
      <c r="C452" t="s">
        <v>40</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40</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40</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40</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40</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40</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42</v>
      </c>
      <c r="K460" t="s">
        <v>24</v>
      </c>
      <c r="L460">
        <v>32</v>
      </c>
      <c r="M460" t="str">
        <f t="shared" si="7"/>
        <v>Middle Age</v>
      </c>
      <c r="N460" t="s">
        <v>15</v>
      </c>
    </row>
    <row r="461" spans="1:14" x14ac:dyDescent="0.3">
      <c r="A461">
        <v>21554</v>
      </c>
      <c r="B461" t="s">
        <v>37</v>
      </c>
      <c r="C461" t="s">
        <v>40</v>
      </c>
      <c r="D461" s="3">
        <v>80000</v>
      </c>
      <c r="E461">
        <v>0</v>
      </c>
      <c r="F461" t="s">
        <v>13</v>
      </c>
      <c r="G461" t="s">
        <v>21</v>
      </c>
      <c r="H461" t="s">
        <v>18</v>
      </c>
      <c r="I461">
        <v>3</v>
      </c>
      <c r="J461" t="s">
        <v>42</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Adolescent</v>
      </c>
      <c r="N462" t="s">
        <v>15</v>
      </c>
    </row>
    <row r="463" spans="1:14" x14ac:dyDescent="0.3">
      <c r="A463">
        <v>13089</v>
      </c>
      <c r="B463" t="s">
        <v>36</v>
      </c>
      <c r="C463" t="s">
        <v>40</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40</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40</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40</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40</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40</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40</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40</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40</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40</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40</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40</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40</v>
      </c>
      <c r="D486" s="3">
        <v>30000</v>
      </c>
      <c r="E486">
        <v>0</v>
      </c>
      <c r="F486" t="s">
        <v>19</v>
      </c>
      <c r="G486" t="s">
        <v>20</v>
      </c>
      <c r="H486" t="s">
        <v>18</v>
      </c>
      <c r="I486">
        <v>1</v>
      </c>
      <c r="J486" t="s">
        <v>22</v>
      </c>
      <c r="K486" t="s">
        <v>17</v>
      </c>
      <c r="L486">
        <v>31</v>
      </c>
      <c r="M486" t="str">
        <f t="shared" si="7"/>
        <v>Adolescent</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40</v>
      </c>
      <c r="D488" s="3">
        <v>90000</v>
      </c>
      <c r="E488">
        <v>4</v>
      </c>
      <c r="F488" t="s">
        <v>29</v>
      </c>
      <c r="G488" t="s">
        <v>14</v>
      </c>
      <c r="H488" t="s">
        <v>15</v>
      </c>
      <c r="I488">
        <v>4</v>
      </c>
      <c r="J488" t="s">
        <v>42</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40</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40</v>
      </c>
      <c r="D494" s="3">
        <v>40000</v>
      </c>
      <c r="E494">
        <v>3</v>
      </c>
      <c r="F494" t="s">
        <v>19</v>
      </c>
      <c r="G494" t="s">
        <v>20</v>
      </c>
      <c r="H494" t="s">
        <v>15</v>
      </c>
      <c r="I494">
        <v>1</v>
      </c>
      <c r="J494" t="s">
        <v>26</v>
      </c>
      <c r="K494" t="s">
        <v>32</v>
      </c>
      <c r="L494">
        <v>31</v>
      </c>
      <c r="M494" t="str">
        <f t="shared" si="7"/>
        <v>Adolescent</v>
      </c>
      <c r="N494" t="s">
        <v>15</v>
      </c>
    </row>
    <row r="495" spans="1:14" x14ac:dyDescent="0.3">
      <c r="A495">
        <v>23707</v>
      </c>
      <c r="B495" t="s">
        <v>37</v>
      </c>
      <c r="C495" t="s">
        <v>39</v>
      </c>
      <c r="D495" s="3">
        <v>70000</v>
      </c>
      <c r="E495">
        <v>5</v>
      </c>
      <c r="F495" t="s">
        <v>13</v>
      </c>
      <c r="G495" t="s">
        <v>28</v>
      </c>
      <c r="H495" t="s">
        <v>15</v>
      </c>
      <c r="I495">
        <v>3</v>
      </c>
      <c r="J495" t="s">
        <v>42</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42</v>
      </c>
      <c r="K497" t="s">
        <v>32</v>
      </c>
      <c r="L497">
        <v>56</v>
      </c>
      <c r="M497" t="str">
        <f t="shared" si="7"/>
        <v>Old</v>
      </c>
      <c r="N497" t="s">
        <v>18</v>
      </c>
    </row>
    <row r="498" spans="1:14" x14ac:dyDescent="0.3">
      <c r="A498">
        <v>20678</v>
      </c>
      <c r="B498" t="s">
        <v>37</v>
      </c>
      <c r="C498" t="s">
        <v>40</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40</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40</v>
      </c>
      <c r="D501" s="3">
        <v>40000</v>
      </c>
      <c r="E501">
        <v>0</v>
      </c>
      <c r="F501" t="s">
        <v>27</v>
      </c>
      <c r="G501" t="s">
        <v>14</v>
      </c>
      <c r="H501" t="s">
        <v>18</v>
      </c>
      <c r="I501">
        <v>2</v>
      </c>
      <c r="J501" t="s">
        <v>26</v>
      </c>
      <c r="K501" t="s">
        <v>32</v>
      </c>
      <c r="L501">
        <v>31</v>
      </c>
      <c r="M501" t="str">
        <f t="shared" si="7"/>
        <v>Adolescent</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40</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40</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40</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40</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40</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40</v>
      </c>
      <c r="D515" s="3">
        <v>60000</v>
      </c>
      <c r="E515">
        <v>4</v>
      </c>
      <c r="F515" t="s">
        <v>31</v>
      </c>
      <c r="G515" t="s">
        <v>28</v>
      </c>
      <c r="H515" t="s">
        <v>15</v>
      </c>
      <c r="I515">
        <v>2</v>
      </c>
      <c r="J515" t="s">
        <v>42</v>
      </c>
      <c r="K515" t="s">
        <v>32</v>
      </c>
      <c r="L515">
        <v>61</v>
      </c>
      <c r="M515" t="str">
        <f t="shared" ref="M515:M578" si="8">IF(L515&gt;54,"Old",IF(L515&gt;31,"Middle Age","Adolescent"))</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40</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40</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40</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42</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40</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42</v>
      </c>
      <c r="K527" t="s">
        <v>32</v>
      </c>
      <c r="L527">
        <v>59</v>
      </c>
      <c r="M527" t="str">
        <f t="shared" si="8"/>
        <v>Old</v>
      </c>
      <c r="N527" t="s">
        <v>15</v>
      </c>
    </row>
    <row r="528" spans="1:14" x14ac:dyDescent="0.3">
      <c r="A528">
        <v>15382</v>
      </c>
      <c r="B528" t="s">
        <v>36</v>
      </c>
      <c r="C528" t="s">
        <v>40</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40</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42</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40</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42</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42</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42</v>
      </c>
      <c r="K537" t="s">
        <v>32</v>
      </c>
      <c r="L537">
        <v>41</v>
      </c>
      <c r="M537" t="str">
        <f t="shared" si="8"/>
        <v>Middle Age</v>
      </c>
      <c r="N537" t="s">
        <v>18</v>
      </c>
    </row>
    <row r="538" spans="1:14" x14ac:dyDescent="0.3">
      <c r="A538">
        <v>13907</v>
      </c>
      <c r="B538" t="s">
        <v>37</v>
      </c>
      <c r="C538" t="s">
        <v>40</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40</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40</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40</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40</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40</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40</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40</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40</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40</v>
      </c>
      <c r="D553" s="3">
        <v>50000</v>
      </c>
      <c r="E553">
        <v>4</v>
      </c>
      <c r="F553" t="s">
        <v>13</v>
      </c>
      <c r="G553" t="s">
        <v>28</v>
      </c>
      <c r="H553" t="s">
        <v>15</v>
      </c>
      <c r="I553">
        <v>2</v>
      </c>
      <c r="J553" t="s">
        <v>42</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42</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40</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40</v>
      </c>
      <c r="D559" s="3">
        <v>40000</v>
      </c>
      <c r="E559">
        <v>3</v>
      </c>
      <c r="F559" t="s">
        <v>19</v>
      </c>
      <c r="G559" t="s">
        <v>20</v>
      </c>
      <c r="H559" t="s">
        <v>15</v>
      </c>
      <c r="I559">
        <v>0</v>
      </c>
      <c r="J559" t="s">
        <v>26</v>
      </c>
      <c r="K559" t="s">
        <v>32</v>
      </c>
      <c r="L559">
        <v>31</v>
      </c>
      <c r="M559" t="str">
        <f t="shared" si="8"/>
        <v>Adolescent</v>
      </c>
      <c r="N559" t="s">
        <v>18</v>
      </c>
    </row>
    <row r="560" spans="1:14" x14ac:dyDescent="0.3">
      <c r="A560">
        <v>23200</v>
      </c>
      <c r="B560" t="s">
        <v>36</v>
      </c>
      <c r="C560" t="s">
        <v>40</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40</v>
      </c>
      <c r="D561" s="3">
        <v>60000</v>
      </c>
      <c r="E561">
        <v>2</v>
      </c>
      <c r="F561" t="s">
        <v>13</v>
      </c>
      <c r="G561" t="s">
        <v>28</v>
      </c>
      <c r="H561" t="s">
        <v>15</v>
      </c>
      <c r="I561">
        <v>0</v>
      </c>
      <c r="J561" t="s">
        <v>42</v>
      </c>
      <c r="K561" t="s">
        <v>32</v>
      </c>
      <c r="L561">
        <v>58</v>
      </c>
      <c r="M561" t="str">
        <f t="shared" si="8"/>
        <v>Old</v>
      </c>
      <c r="N561" t="s">
        <v>18</v>
      </c>
    </row>
    <row r="562" spans="1:14" x14ac:dyDescent="0.3">
      <c r="A562">
        <v>18577</v>
      </c>
      <c r="B562" t="s">
        <v>36</v>
      </c>
      <c r="C562" t="s">
        <v>40</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40</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40</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40</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40</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42</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40</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42</v>
      </c>
      <c r="K577" t="s">
        <v>32</v>
      </c>
      <c r="L577">
        <v>56</v>
      </c>
      <c r="M577" t="str">
        <f t="shared" si="8"/>
        <v>Old</v>
      </c>
      <c r="N577" t="s">
        <v>18</v>
      </c>
    </row>
    <row r="578" spans="1:14" x14ac:dyDescent="0.3">
      <c r="A578">
        <v>18752</v>
      </c>
      <c r="B578" t="s">
        <v>37</v>
      </c>
      <c r="C578" t="s">
        <v>40</v>
      </c>
      <c r="D578" s="3">
        <v>40000</v>
      </c>
      <c r="E578">
        <v>0</v>
      </c>
      <c r="F578" t="s">
        <v>27</v>
      </c>
      <c r="G578" t="s">
        <v>14</v>
      </c>
      <c r="H578" t="s">
        <v>15</v>
      </c>
      <c r="I578">
        <v>1</v>
      </c>
      <c r="J578" t="s">
        <v>23</v>
      </c>
      <c r="K578" t="s">
        <v>32</v>
      </c>
      <c r="L578">
        <v>31</v>
      </c>
      <c r="M578" t="str">
        <f t="shared" si="8"/>
        <v>Adolescent</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Age","Adolescent"))</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40</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40</v>
      </c>
      <c r="D582" s="3">
        <v>60000</v>
      </c>
      <c r="E582">
        <v>3</v>
      </c>
      <c r="F582" t="s">
        <v>31</v>
      </c>
      <c r="G582" t="s">
        <v>28</v>
      </c>
      <c r="H582" t="s">
        <v>15</v>
      </c>
      <c r="I582">
        <v>2</v>
      </c>
      <c r="J582" t="s">
        <v>42</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42</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40</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40</v>
      </c>
      <c r="D590" s="3">
        <v>90000</v>
      </c>
      <c r="E590">
        <v>2</v>
      </c>
      <c r="F590" t="s">
        <v>27</v>
      </c>
      <c r="G590" t="s">
        <v>21</v>
      </c>
      <c r="H590" t="s">
        <v>15</v>
      </c>
      <c r="I590">
        <v>1</v>
      </c>
      <c r="J590" t="s">
        <v>42</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42</v>
      </c>
      <c r="K591" t="s">
        <v>32</v>
      </c>
      <c r="L591">
        <v>57</v>
      </c>
      <c r="M591" t="str">
        <f t="shared" si="9"/>
        <v>Old</v>
      </c>
      <c r="N591" t="s">
        <v>18</v>
      </c>
    </row>
    <row r="592" spans="1:14" x14ac:dyDescent="0.3">
      <c r="A592">
        <v>23158</v>
      </c>
      <c r="B592" t="s">
        <v>36</v>
      </c>
      <c r="C592" t="s">
        <v>40</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42</v>
      </c>
      <c r="K593" t="s">
        <v>32</v>
      </c>
      <c r="L593">
        <v>61</v>
      </c>
      <c r="M593" t="str">
        <f t="shared" si="9"/>
        <v>Old</v>
      </c>
      <c r="N593" t="s">
        <v>15</v>
      </c>
    </row>
    <row r="594" spans="1:14" x14ac:dyDescent="0.3">
      <c r="A594">
        <v>18391</v>
      </c>
      <c r="B594" t="s">
        <v>37</v>
      </c>
      <c r="C594" t="s">
        <v>40</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40</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40</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40</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40</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40</v>
      </c>
      <c r="D609" s="3">
        <v>70000</v>
      </c>
      <c r="E609">
        <v>5</v>
      </c>
      <c r="F609" t="s">
        <v>31</v>
      </c>
      <c r="G609" t="s">
        <v>21</v>
      </c>
      <c r="H609" t="s">
        <v>15</v>
      </c>
      <c r="I609">
        <v>3</v>
      </c>
      <c r="J609" t="s">
        <v>42</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40</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40</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40</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40</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40</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40</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40</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40</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40</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40</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40</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40</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40</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40</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40</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40</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40</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40</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42</v>
      </c>
      <c r="K643" t="s">
        <v>32</v>
      </c>
      <c r="L643">
        <v>64</v>
      </c>
      <c r="M643" t="str">
        <f t="shared" ref="M643:M706" si="10">IF(L643&gt;54,"Old",IF(L643&gt;31,"Middle Age","Adolescent"))</f>
        <v>Old</v>
      </c>
      <c r="N643" t="s">
        <v>18</v>
      </c>
    </row>
    <row r="644" spans="1:14" x14ac:dyDescent="0.3">
      <c r="A644">
        <v>21741</v>
      </c>
      <c r="B644" t="s">
        <v>36</v>
      </c>
      <c r="C644" t="s">
        <v>40</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40</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40</v>
      </c>
      <c r="D646" s="3">
        <v>60000</v>
      </c>
      <c r="E646">
        <v>5</v>
      </c>
      <c r="F646" t="s">
        <v>13</v>
      </c>
      <c r="G646" t="s">
        <v>14</v>
      </c>
      <c r="H646" t="s">
        <v>15</v>
      </c>
      <c r="I646">
        <v>3</v>
      </c>
      <c r="J646" t="s">
        <v>42</v>
      </c>
      <c r="K646" t="s">
        <v>32</v>
      </c>
      <c r="L646">
        <v>41</v>
      </c>
      <c r="M646" t="str">
        <f t="shared" si="10"/>
        <v>Middle Age</v>
      </c>
      <c r="N646" t="s">
        <v>18</v>
      </c>
    </row>
    <row r="647" spans="1:14" x14ac:dyDescent="0.3">
      <c r="A647">
        <v>16217</v>
      </c>
      <c r="B647" t="s">
        <v>37</v>
      </c>
      <c r="C647" t="s">
        <v>40</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40</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Adolescent</v>
      </c>
      <c r="N649" t="s">
        <v>18</v>
      </c>
    </row>
    <row r="650" spans="1:14" x14ac:dyDescent="0.3">
      <c r="A650">
        <v>25872</v>
      </c>
      <c r="B650" t="s">
        <v>37</v>
      </c>
      <c r="C650" t="s">
        <v>40</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40</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40</v>
      </c>
      <c r="D652" s="3">
        <v>70000</v>
      </c>
      <c r="E652">
        <v>5</v>
      </c>
      <c r="F652" t="s">
        <v>31</v>
      </c>
      <c r="G652" t="s">
        <v>28</v>
      </c>
      <c r="H652" t="s">
        <v>15</v>
      </c>
      <c r="I652">
        <v>2</v>
      </c>
      <c r="J652" t="s">
        <v>42</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Adolescent</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Adolescent</v>
      </c>
      <c r="N656" t="s">
        <v>15</v>
      </c>
    </row>
    <row r="657" spans="1:14" x14ac:dyDescent="0.3">
      <c r="A657">
        <v>26236</v>
      </c>
      <c r="B657" t="s">
        <v>36</v>
      </c>
      <c r="C657" t="s">
        <v>40</v>
      </c>
      <c r="D657" s="3">
        <v>40000</v>
      </c>
      <c r="E657">
        <v>3</v>
      </c>
      <c r="F657" t="s">
        <v>19</v>
      </c>
      <c r="G657" t="s">
        <v>20</v>
      </c>
      <c r="H657" t="s">
        <v>15</v>
      </c>
      <c r="I657">
        <v>1</v>
      </c>
      <c r="J657" t="s">
        <v>16</v>
      </c>
      <c r="K657" t="s">
        <v>32</v>
      </c>
      <c r="L657">
        <v>31</v>
      </c>
      <c r="M657" t="str">
        <f t="shared" si="10"/>
        <v>Adolescent</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40</v>
      </c>
      <c r="D661" s="3">
        <v>60000</v>
      </c>
      <c r="E661">
        <v>4</v>
      </c>
      <c r="F661" t="s">
        <v>13</v>
      </c>
      <c r="G661" t="s">
        <v>28</v>
      </c>
      <c r="H661" t="s">
        <v>15</v>
      </c>
      <c r="I661">
        <v>2</v>
      </c>
      <c r="J661" t="s">
        <v>42</v>
      </c>
      <c r="K661" t="s">
        <v>32</v>
      </c>
      <c r="L661">
        <v>63</v>
      </c>
      <c r="M661" t="str">
        <f t="shared" si="10"/>
        <v>Old</v>
      </c>
      <c r="N661" t="s">
        <v>18</v>
      </c>
    </row>
    <row r="662" spans="1:14" x14ac:dyDescent="0.3">
      <c r="A662">
        <v>21599</v>
      </c>
      <c r="B662" t="s">
        <v>36</v>
      </c>
      <c r="C662" t="s">
        <v>40</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40</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40</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40</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40</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40</v>
      </c>
      <c r="D669" s="3">
        <v>40000</v>
      </c>
      <c r="E669">
        <v>5</v>
      </c>
      <c r="F669" t="s">
        <v>27</v>
      </c>
      <c r="G669" t="s">
        <v>21</v>
      </c>
      <c r="H669" t="s">
        <v>18</v>
      </c>
      <c r="I669">
        <v>2</v>
      </c>
      <c r="J669" t="s">
        <v>42</v>
      </c>
      <c r="K669" t="s">
        <v>32</v>
      </c>
      <c r="L669">
        <v>61</v>
      </c>
      <c r="M669" t="str">
        <f t="shared" si="10"/>
        <v>Old</v>
      </c>
      <c r="N669" t="s">
        <v>18</v>
      </c>
    </row>
    <row r="670" spans="1:14" x14ac:dyDescent="0.3">
      <c r="A670">
        <v>14592</v>
      </c>
      <c r="B670" t="s">
        <v>36</v>
      </c>
      <c r="C670" t="s">
        <v>40</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40</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42</v>
      </c>
      <c r="K672" t="s">
        <v>32</v>
      </c>
      <c r="L672">
        <v>59</v>
      </c>
      <c r="M672" t="str">
        <f t="shared" si="10"/>
        <v>Old</v>
      </c>
      <c r="N672" t="s">
        <v>18</v>
      </c>
    </row>
    <row r="673" spans="1:14" x14ac:dyDescent="0.3">
      <c r="A673">
        <v>22252</v>
      </c>
      <c r="B673" t="s">
        <v>37</v>
      </c>
      <c r="C673" t="s">
        <v>40</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40</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40</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40</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42</v>
      </c>
      <c r="K681" t="s">
        <v>32</v>
      </c>
      <c r="L681">
        <v>60</v>
      </c>
      <c r="M681" t="str">
        <f t="shared" si="10"/>
        <v>Old</v>
      </c>
      <c r="N681" t="s">
        <v>18</v>
      </c>
    </row>
    <row r="682" spans="1:14" x14ac:dyDescent="0.3">
      <c r="A682">
        <v>11165</v>
      </c>
      <c r="B682" t="s">
        <v>36</v>
      </c>
      <c r="C682" t="s">
        <v>40</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40</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40</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40</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40</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40</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40</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40</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40</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40</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40</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40</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40</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40</v>
      </c>
      <c r="D707" s="3">
        <v>70000</v>
      </c>
      <c r="E707">
        <v>4</v>
      </c>
      <c r="F707" t="s">
        <v>13</v>
      </c>
      <c r="G707" t="s">
        <v>28</v>
      </c>
      <c r="H707" t="s">
        <v>15</v>
      </c>
      <c r="I707">
        <v>1</v>
      </c>
      <c r="J707" t="s">
        <v>42</v>
      </c>
      <c r="K707" t="s">
        <v>32</v>
      </c>
      <c r="L707">
        <v>59</v>
      </c>
      <c r="M707" t="str">
        <f t="shared" ref="M707:M770" si="11">IF(L707&gt;54,"Old",IF(L707&gt;31,"Middle Age","Adolescent"))</f>
        <v>Old</v>
      </c>
      <c r="N707" t="s">
        <v>18</v>
      </c>
    </row>
    <row r="708" spans="1:14" x14ac:dyDescent="0.3">
      <c r="A708">
        <v>20296</v>
      </c>
      <c r="B708" t="s">
        <v>37</v>
      </c>
      <c r="C708" t="s">
        <v>40</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40</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42</v>
      </c>
      <c r="K710" t="s">
        <v>32</v>
      </c>
      <c r="L710">
        <v>60</v>
      </c>
      <c r="M710" t="str">
        <f t="shared" si="11"/>
        <v>Old</v>
      </c>
      <c r="N710" t="s">
        <v>18</v>
      </c>
    </row>
    <row r="711" spans="1:14" x14ac:dyDescent="0.3">
      <c r="A711">
        <v>23712</v>
      </c>
      <c r="B711" t="s">
        <v>37</v>
      </c>
      <c r="C711" t="s">
        <v>40</v>
      </c>
      <c r="D711" s="3">
        <v>70000</v>
      </c>
      <c r="E711">
        <v>2</v>
      </c>
      <c r="F711" t="s">
        <v>13</v>
      </c>
      <c r="G711" t="s">
        <v>28</v>
      </c>
      <c r="H711" t="s">
        <v>15</v>
      </c>
      <c r="I711">
        <v>1</v>
      </c>
      <c r="J711" t="s">
        <v>42</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40</v>
      </c>
      <c r="D713" s="3">
        <v>70000</v>
      </c>
      <c r="E713">
        <v>2</v>
      </c>
      <c r="F713" t="s">
        <v>19</v>
      </c>
      <c r="G713" t="s">
        <v>21</v>
      </c>
      <c r="H713" t="s">
        <v>15</v>
      </c>
      <c r="I713">
        <v>1</v>
      </c>
      <c r="J713" t="s">
        <v>42</v>
      </c>
      <c r="K713" t="s">
        <v>32</v>
      </c>
      <c r="L713">
        <v>58</v>
      </c>
      <c r="M713" t="str">
        <f t="shared" si="11"/>
        <v>Old</v>
      </c>
      <c r="N713" t="s">
        <v>18</v>
      </c>
    </row>
    <row r="714" spans="1:14" x14ac:dyDescent="0.3">
      <c r="A714">
        <v>28026</v>
      </c>
      <c r="B714" t="s">
        <v>36</v>
      </c>
      <c r="C714" t="s">
        <v>40</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40</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40</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40</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40</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40</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40</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40</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40</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40</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40</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40</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40</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Adolescent</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40</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40</v>
      </c>
      <c r="D741" s="3">
        <v>60000</v>
      </c>
      <c r="E741">
        <v>2</v>
      </c>
      <c r="F741" t="s">
        <v>19</v>
      </c>
      <c r="G741" t="s">
        <v>21</v>
      </c>
      <c r="H741" t="s">
        <v>15</v>
      </c>
      <c r="I741">
        <v>1</v>
      </c>
      <c r="J741" t="s">
        <v>42</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40</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40</v>
      </c>
      <c r="D746" s="3">
        <v>70000</v>
      </c>
      <c r="E746">
        <v>4</v>
      </c>
      <c r="F746" t="s">
        <v>19</v>
      </c>
      <c r="G746" t="s">
        <v>21</v>
      </c>
      <c r="H746" t="s">
        <v>15</v>
      </c>
      <c r="I746">
        <v>1</v>
      </c>
      <c r="J746" t="s">
        <v>42</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40</v>
      </c>
      <c r="D748" s="3">
        <v>60000</v>
      </c>
      <c r="E748">
        <v>2</v>
      </c>
      <c r="F748" t="s">
        <v>13</v>
      </c>
      <c r="G748" t="s">
        <v>28</v>
      </c>
      <c r="H748" t="s">
        <v>15</v>
      </c>
      <c r="I748">
        <v>0</v>
      </c>
      <c r="J748" t="s">
        <v>42</v>
      </c>
      <c r="K748" t="s">
        <v>32</v>
      </c>
      <c r="L748">
        <v>56</v>
      </c>
      <c r="M748" t="str">
        <f t="shared" si="11"/>
        <v>Old</v>
      </c>
      <c r="N748" t="s">
        <v>18</v>
      </c>
    </row>
    <row r="749" spans="1:14" x14ac:dyDescent="0.3">
      <c r="A749">
        <v>12957</v>
      </c>
      <c r="B749" t="s">
        <v>37</v>
      </c>
      <c r="C749" t="s">
        <v>40</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40</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40</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40</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40</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40</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40</v>
      </c>
      <c r="D763" s="3">
        <v>60000</v>
      </c>
      <c r="E763">
        <v>5</v>
      </c>
      <c r="F763" t="s">
        <v>13</v>
      </c>
      <c r="G763" t="s">
        <v>28</v>
      </c>
      <c r="H763" t="s">
        <v>15</v>
      </c>
      <c r="I763">
        <v>3</v>
      </c>
      <c r="J763" t="s">
        <v>42</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40</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40</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42</v>
      </c>
      <c r="K768" t="s">
        <v>32</v>
      </c>
      <c r="L768">
        <v>42</v>
      </c>
      <c r="M768" t="str">
        <f t="shared" si="11"/>
        <v>Middle Age</v>
      </c>
      <c r="N768" t="s">
        <v>18</v>
      </c>
    </row>
    <row r="769" spans="1:14" x14ac:dyDescent="0.3">
      <c r="A769">
        <v>24979</v>
      </c>
      <c r="B769" t="s">
        <v>36</v>
      </c>
      <c r="C769" t="s">
        <v>40</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40</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40</v>
      </c>
      <c r="D771" s="3">
        <v>100000</v>
      </c>
      <c r="E771">
        <v>4</v>
      </c>
      <c r="F771" t="s">
        <v>13</v>
      </c>
      <c r="G771" t="s">
        <v>28</v>
      </c>
      <c r="H771" t="s">
        <v>15</v>
      </c>
      <c r="I771">
        <v>4</v>
      </c>
      <c r="J771" t="s">
        <v>16</v>
      </c>
      <c r="K771" t="s">
        <v>32</v>
      </c>
      <c r="L771">
        <v>40</v>
      </c>
      <c r="M771" t="str">
        <f t="shared" ref="M771:M834" si="12">IF(L771&gt;54,"Old",IF(L771&gt;31,"Middle Age","Adolescent"))</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40</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40</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42</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40</v>
      </c>
      <c r="D782" s="3">
        <v>60000</v>
      </c>
      <c r="E782">
        <v>2</v>
      </c>
      <c r="F782" t="s">
        <v>19</v>
      </c>
      <c r="G782" t="s">
        <v>21</v>
      </c>
      <c r="H782" t="s">
        <v>15</v>
      </c>
      <c r="I782">
        <v>1</v>
      </c>
      <c r="J782" t="s">
        <v>42</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40</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40</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40</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40</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40</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40</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40</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40</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40</v>
      </c>
      <c r="D807" s="3">
        <v>40000</v>
      </c>
      <c r="E807">
        <v>0</v>
      </c>
      <c r="F807" t="s">
        <v>27</v>
      </c>
      <c r="G807" t="s">
        <v>14</v>
      </c>
      <c r="H807" t="s">
        <v>15</v>
      </c>
      <c r="I807">
        <v>2</v>
      </c>
      <c r="J807" t="s">
        <v>23</v>
      </c>
      <c r="K807" t="s">
        <v>32</v>
      </c>
      <c r="L807">
        <v>31</v>
      </c>
      <c r="M807" t="str">
        <f t="shared" si="12"/>
        <v>Adolescent</v>
      </c>
      <c r="N807" t="s">
        <v>18</v>
      </c>
    </row>
    <row r="808" spans="1:14" x14ac:dyDescent="0.3">
      <c r="A808">
        <v>23248</v>
      </c>
      <c r="B808" t="s">
        <v>36</v>
      </c>
      <c r="C808" t="s">
        <v>40</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40</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40</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40</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Adolescent</v>
      </c>
      <c r="N813" t="s">
        <v>18</v>
      </c>
    </row>
    <row r="814" spans="1:14" x14ac:dyDescent="0.3">
      <c r="A814">
        <v>15749</v>
      </c>
      <c r="B814" t="s">
        <v>37</v>
      </c>
      <c r="C814" t="s">
        <v>40</v>
      </c>
      <c r="D814" s="3">
        <v>70000</v>
      </c>
      <c r="E814">
        <v>4</v>
      </c>
      <c r="F814" t="s">
        <v>13</v>
      </c>
      <c r="G814" t="s">
        <v>28</v>
      </c>
      <c r="H814" t="s">
        <v>15</v>
      </c>
      <c r="I814">
        <v>2</v>
      </c>
      <c r="J814" t="s">
        <v>42</v>
      </c>
      <c r="K814" t="s">
        <v>32</v>
      </c>
      <c r="L814">
        <v>61</v>
      </c>
      <c r="M814" t="str">
        <f t="shared" si="12"/>
        <v>Old</v>
      </c>
      <c r="N814" t="s">
        <v>18</v>
      </c>
    </row>
    <row r="815" spans="1:14" x14ac:dyDescent="0.3">
      <c r="A815">
        <v>25899</v>
      </c>
      <c r="B815" t="s">
        <v>36</v>
      </c>
      <c r="C815" t="s">
        <v>40</v>
      </c>
      <c r="D815" s="3">
        <v>70000</v>
      </c>
      <c r="E815">
        <v>2</v>
      </c>
      <c r="F815" t="s">
        <v>27</v>
      </c>
      <c r="G815" t="s">
        <v>21</v>
      </c>
      <c r="H815" t="s">
        <v>15</v>
      </c>
      <c r="I815">
        <v>2</v>
      </c>
      <c r="J815" t="s">
        <v>42</v>
      </c>
      <c r="K815" t="s">
        <v>32</v>
      </c>
      <c r="L815">
        <v>53</v>
      </c>
      <c r="M815" t="str">
        <f t="shared" si="12"/>
        <v>Middle Age</v>
      </c>
      <c r="N815" t="s">
        <v>18</v>
      </c>
    </row>
    <row r="816" spans="1:14" x14ac:dyDescent="0.3">
      <c r="A816">
        <v>13351</v>
      </c>
      <c r="B816" t="s">
        <v>37</v>
      </c>
      <c r="C816" t="s">
        <v>40</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40</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40</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40</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40</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40</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40</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40</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40</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40</v>
      </c>
      <c r="D835" s="3">
        <v>70000</v>
      </c>
      <c r="E835">
        <v>0</v>
      </c>
      <c r="F835" t="s">
        <v>13</v>
      </c>
      <c r="G835" t="s">
        <v>21</v>
      </c>
      <c r="H835" t="s">
        <v>18</v>
      </c>
      <c r="I835">
        <v>1</v>
      </c>
      <c r="J835" t="s">
        <v>16</v>
      </c>
      <c r="K835" t="s">
        <v>32</v>
      </c>
      <c r="L835">
        <v>37</v>
      </c>
      <c r="M835" t="str">
        <f t="shared" ref="M835:M898" si="13">IF(L835&gt;54,"Old",IF(L835&gt;31,"Middle Age","Adolescent"))</f>
        <v>Middle Age</v>
      </c>
      <c r="N835" t="s">
        <v>15</v>
      </c>
    </row>
    <row r="836" spans="1:14" x14ac:dyDescent="0.3">
      <c r="A836">
        <v>19889</v>
      </c>
      <c r="B836" t="s">
        <v>37</v>
      </c>
      <c r="C836" t="s">
        <v>40</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40</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40</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40</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40</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42</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40</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40</v>
      </c>
      <c r="D846" s="3">
        <v>40000</v>
      </c>
      <c r="E846">
        <v>5</v>
      </c>
      <c r="F846" t="s">
        <v>27</v>
      </c>
      <c r="G846" t="s">
        <v>21</v>
      </c>
      <c r="H846" t="s">
        <v>15</v>
      </c>
      <c r="I846">
        <v>2</v>
      </c>
      <c r="J846" t="s">
        <v>42</v>
      </c>
      <c r="K846" t="s">
        <v>32</v>
      </c>
      <c r="L846">
        <v>60</v>
      </c>
      <c r="M846" t="str">
        <f t="shared" si="13"/>
        <v>Old</v>
      </c>
      <c r="N846" t="s">
        <v>18</v>
      </c>
    </row>
    <row r="847" spans="1:14" x14ac:dyDescent="0.3">
      <c r="A847">
        <v>25343</v>
      </c>
      <c r="B847" t="s">
        <v>37</v>
      </c>
      <c r="C847" t="s">
        <v>40</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40</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40</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40</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40</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40</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40</v>
      </c>
      <c r="D857" s="3">
        <v>30000</v>
      </c>
      <c r="E857">
        <v>0</v>
      </c>
      <c r="F857" t="s">
        <v>19</v>
      </c>
      <c r="G857" t="s">
        <v>14</v>
      </c>
      <c r="H857" t="s">
        <v>18</v>
      </c>
      <c r="I857">
        <v>1</v>
      </c>
      <c r="J857" t="s">
        <v>26</v>
      </c>
      <c r="K857" t="s">
        <v>32</v>
      </c>
      <c r="L857">
        <v>31</v>
      </c>
      <c r="M857" t="str">
        <f t="shared" si="13"/>
        <v>Adolescent</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40</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40</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Adolescent</v>
      </c>
      <c r="N866" t="s">
        <v>18</v>
      </c>
    </row>
    <row r="867" spans="1:14" x14ac:dyDescent="0.3">
      <c r="A867">
        <v>22046</v>
      </c>
      <c r="B867" t="s">
        <v>37</v>
      </c>
      <c r="C867" t="s">
        <v>40</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42</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42</v>
      </c>
      <c r="K870" t="s">
        <v>32</v>
      </c>
      <c r="L870">
        <v>60</v>
      </c>
      <c r="M870" t="str">
        <f t="shared" si="13"/>
        <v>Old</v>
      </c>
      <c r="N870" t="s">
        <v>15</v>
      </c>
    </row>
    <row r="871" spans="1:14" x14ac:dyDescent="0.3">
      <c r="A871">
        <v>26065</v>
      </c>
      <c r="B871" t="s">
        <v>37</v>
      </c>
      <c r="C871" t="s">
        <v>40</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42</v>
      </c>
      <c r="K873" t="s">
        <v>32</v>
      </c>
      <c r="L873">
        <v>55</v>
      </c>
      <c r="M873" t="str">
        <f t="shared" si="13"/>
        <v>Old</v>
      </c>
      <c r="N873" t="s">
        <v>18</v>
      </c>
    </row>
    <row r="874" spans="1:14" x14ac:dyDescent="0.3">
      <c r="A874">
        <v>22118</v>
      </c>
      <c r="B874" t="s">
        <v>37</v>
      </c>
      <c r="C874" t="s">
        <v>40</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40</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40</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40</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40</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40</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40</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40</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40</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40</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40</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40</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Age","Adolescent"))</f>
        <v>Adolescent</v>
      </c>
      <c r="N899" t="s">
        <v>18</v>
      </c>
    </row>
    <row r="900" spans="1:14" x14ac:dyDescent="0.3">
      <c r="A900">
        <v>18066</v>
      </c>
      <c r="B900" t="s">
        <v>37</v>
      </c>
      <c r="C900" t="s">
        <v>39</v>
      </c>
      <c r="D900" s="3">
        <v>70000</v>
      </c>
      <c r="E900">
        <v>5</v>
      </c>
      <c r="F900" t="s">
        <v>13</v>
      </c>
      <c r="G900" t="s">
        <v>28</v>
      </c>
      <c r="H900" t="s">
        <v>15</v>
      </c>
      <c r="I900">
        <v>3</v>
      </c>
      <c r="J900" t="s">
        <v>42</v>
      </c>
      <c r="K900" t="s">
        <v>32</v>
      </c>
      <c r="L900">
        <v>60</v>
      </c>
      <c r="M900" t="str">
        <f t="shared" si="14"/>
        <v>Old</v>
      </c>
      <c r="N900" t="s">
        <v>15</v>
      </c>
    </row>
    <row r="901" spans="1:14" x14ac:dyDescent="0.3">
      <c r="A901">
        <v>28192</v>
      </c>
      <c r="B901" t="s">
        <v>36</v>
      </c>
      <c r="C901" t="s">
        <v>40</v>
      </c>
      <c r="D901" s="3">
        <v>70000</v>
      </c>
      <c r="E901">
        <v>5</v>
      </c>
      <c r="F901" t="s">
        <v>31</v>
      </c>
      <c r="G901" t="s">
        <v>21</v>
      </c>
      <c r="H901" t="s">
        <v>15</v>
      </c>
      <c r="I901">
        <v>3</v>
      </c>
      <c r="J901" t="s">
        <v>42</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40</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40</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42</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40</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40</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42</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40</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40</v>
      </c>
      <c r="D921" s="3">
        <v>40000</v>
      </c>
      <c r="E921">
        <v>4</v>
      </c>
      <c r="F921" t="s">
        <v>27</v>
      </c>
      <c r="G921" t="s">
        <v>21</v>
      </c>
      <c r="H921" t="s">
        <v>15</v>
      </c>
      <c r="I921">
        <v>2</v>
      </c>
      <c r="J921" t="s">
        <v>42</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40</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40</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40</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40</v>
      </c>
      <c r="D928" s="3">
        <v>40000</v>
      </c>
      <c r="E928">
        <v>2</v>
      </c>
      <c r="F928" t="s">
        <v>27</v>
      </c>
      <c r="G928" t="s">
        <v>21</v>
      </c>
      <c r="H928" t="s">
        <v>15</v>
      </c>
      <c r="I928">
        <v>2</v>
      </c>
      <c r="J928" t="s">
        <v>42</v>
      </c>
      <c r="K928" t="s">
        <v>32</v>
      </c>
      <c r="L928">
        <v>57</v>
      </c>
      <c r="M928" t="str">
        <f t="shared" si="14"/>
        <v>Old</v>
      </c>
      <c r="N928" t="s">
        <v>18</v>
      </c>
    </row>
    <row r="929" spans="1:14" x14ac:dyDescent="0.3">
      <c r="A929">
        <v>11823</v>
      </c>
      <c r="B929" t="s">
        <v>36</v>
      </c>
      <c r="C929" t="s">
        <v>40</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42</v>
      </c>
      <c r="K932" t="s">
        <v>32</v>
      </c>
      <c r="L932">
        <v>47</v>
      </c>
      <c r="M932" t="str">
        <f t="shared" si="14"/>
        <v>Middle Age</v>
      </c>
      <c r="N932" t="s">
        <v>18</v>
      </c>
    </row>
    <row r="933" spans="1:14" x14ac:dyDescent="0.3">
      <c r="A933">
        <v>14914</v>
      </c>
      <c r="B933" t="s">
        <v>36</v>
      </c>
      <c r="C933" t="s">
        <v>40</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40</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40</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40</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40</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40</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40</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40</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40</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40</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40</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40</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40</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42</v>
      </c>
      <c r="K951" t="s">
        <v>32</v>
      </c>
      <c r="L951">
        <v>53</v>
      </c>
      <c r="M951" t="str">
        <f t="shared" si="14"/>
        <v>Middle Age</v>
      </c>
      <c r="N951" t="s">
        <v>18</v>
      </c>
    </row>
    <row r="952" spans="1:14" x14ac:dyDescent="0.3">
      <c r="A952">
        <v>11788</v>
      </c>
      <c r="B952" t="s">
        <v>37</v>
      </c>
      <c r="C952" t="s">
        <v>40</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40</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40</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40</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40</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40</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40</v>
      </c>
      <c r="D963" s="3">
        <v>120000</v>
      </c>
      <c r="E963">
        <v>2</v>
      </c>
      <c r="F963" t="s">
        <v>13</v>
      </c>
      <c r="G963" t="s">
        <v>28</v>
      </c>
      <c r="H963" t="s">
        <v>15</v>
      </c>
      <c r="I963">
        <v>3</v>
      </c>
      <c r="J963" t="s">
        <v>23</v>
      </c>
      <c r="K963" t="s">
        <v>32</v>
      </c>
      <c r="L963">
        <v>62</v>
      </c>
      <c r="M963" t="str">
        <f t="shared" ref="M963:M1001" si="15">IF(L963&gt;54,"Old",IF(L963&gt;31,"Middle Age","Adolescent"))</f>
        <v>Old</v>
      </c>
      <c r="N963" t="s">
        <v>18</v>
      </c>
    </row>
    <row r="964" spans="1:14" x14ac:dyDescent="0.3">
      <c r="A964">
        <v>16813</v>
      </c>
      <c r="B964" t="s">
        <v>36</v>
      </c>
      <c r="C964" t="s">
        <v>39</v>
      </c>
      <c r="D964" s="3">
        <v>60000</v>
      </c>
      <c r="E964">
        <v>2</v>
      </c>
      <c r="F964" t="s">
        <v>19</v>
      </c>
      <c r="G964" t="s">
        <v>21</v>
      </c>
      <c r="H964" t="s">
        <v>15</v>
      </c>
      <c r="I964">
        <v>2</v>
      </c>
      <c r="J964" t="s">
        <v>42</v>
      </c>
      <c r="K964" t="s">
        <v>32</v>
      </c>
      <c r="L964">
        <v>55</v>
      </c>
      <c r="M964" t="str">
        <f t="shared" si="15"/>
        <v>Old</v>
      </c>
      <c r="N964" t="s">
        <v>18</v>
      </c>
    </row>
    <row r="965" spans="1:14" x14ac:dyDescent="0.3">
      <c r="A965">
        <v>16007</v>
      </c>
      <c r="B965" t="s">
        <v>36</v>
      </c>
      <c r="C965" t="s">
        <v>40</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42</v>
      </c>
      <c r="K966" t="s">
        <v>32</v>
      </c>
      <c r="L966">
        <v>56</v>
      </c>
      <c r="M966" t="str">
        <f t="shared" si="15"/>
        <v>Old</v>
      </c>
      <c r="N966" t="s">
        <v>18</v>
      </c>
    </row>
    <row r="967" spans="1:14" x14ac:dyDescent="0.3">
      <c r="A967">
        <v>27756</v>
      </c>
      <c r="B967" t="s">
        <v>37</v>
      </c>
      <c r="C967" t="s">
        <v>40</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40</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40</v>
      </c>
      <c r="D972" s="3">
        <v>60000</v>
      </c>
      <c r="E972">
        <v>0</v>
      </c>
      <c r="F972" t="s">
        <v>19</v>
      </c>
      <c r="G972" t="s">
        <v>14</v>
      </c>
      <c r="H972" t="s">
        <v>15</v>
      </c>
      <c r="I972">
        <v>2</v>
      </c>
      <c r="J972" t="s">
        <v>23</v>
      </c>
      <c r="K972" t="s">
        <v>32</v>
      </c>
      <c r="L972">
        <v>31</v>
      </c>
      <c r="M972" t="str">
        <f t="shared" si="15"/>
        <v>Adolescent</v>
      </c>
      <c r="N972" t="s">
        <v>18</v>
      </c>
    </row>
    <row r="973" spans="1:14" x14ac:dyDescent="0.3">
      <c r="A973">
        <v>12192</v>
      </c>
      <c r="B973" t="s">
        <v>37</v>
      </c>
      <c r="C973" t="s">
        <v>40</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40</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40</v>
      </c>
      <c r="D978" s="3">
        <v>60000</v>
      </c>
      <c r="E978">
        <v>3</v>
      </c>
      <c r="F978" t="s">
        <v>13</v>
      </c>
      <c r="G978" t="s">
        <v>28</v>
      </c>
      <c r="H978" t="s">
        <v>15</v>
      </c>
      <c r="I978">
        <v>2</v>
      </c>
      <c r="J978" t="s">
        <v>42</v>
      </c>
      <c r="K978" t="s">
        <v>32</v>
      </c>
      <c r="L978">
        <v>66</v>
      </c>
      <c r="M978" t="str">
        <f t="shared" si="15"/>
        <v>Old</v>
      </c>
      <c r="N978" t="s">
        <v>18</v>
      </c>
    </row>
    <row r="979" spans="1:14" x14ac:dyDescent="0.3">
      <c r="A979">
        <v>19741</v>
      </c>
      <c r="B979" t="s">
        <v>37</v>
      </c>
      <c r="C979" t="s">
        <v>40</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Adolescent</v>
      </c>
      <c r="N981" t="s">
        <v>18</v>
      </c>
    </row>
    <row r="982" spans="1:14" x14ac:dyDescent="0.3">
      <c r="A982">
        <v>18594</v>
      </c>
      <c r="B982" t="s">
        <v>37</v>
      </c>
      <c r="C982" t="s">
        <v>40</v>
      </c>
      <c r="D982" s="3">
        <v>80000</v>
      </c>
      <c r="E982">
        <v>3</v>
      </c>
      <c r="F982" t="s">
        <v>13</v>
      </c>
      <c r="G982" t="s">
        <v>14</v>
      </c>
      <c r="H982" t="s">
        <v>15</v>
      </c>
      <c r="I982">
        <v>3</v>
      </c>
      <c r="J982" t="s">
        <v>42</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40</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42</v>
      </c>
      <c r="K988" t="s">
        <v>32</v>
      </c>
      <c r="L988">
        <v>60</v>
      </c>
      <c r="M988" t="str">
        <f t="shared" si="15"/>
        <v>Old</v>
      </c>
      <c r="N988" t="s">
        <v>15</v>
      </c>
    </row>
    <row r="989" spans="1:14" x14ac:dyDescent="0.3">
      <c r="A989">
        <v>28972</v>
      </c>
      <c r="B989" t="s">
        <v>37</v>
      </c>
      <c r="C989" t="s">
        <v>40</v>
      </c>
      <c r="D989" s="3">
        <v>60000</v>
      </c>
      <c r="E989">
        <v>3</v>
      </c>
      <c r="F989" t="s">
        <v>31</v>
      </c>
      <c r="G989" t="s">
        <v>28</v>
      </c>
      <c r="H989" t="s">
        <v>15</v>
      </c>
      <c r="I989">
        <v>2</v>
      </c>
      <c r="J989" t="s">
        <v>42</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42</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42</v>
      </c>
      <c r="K991" t="s">
        <v>32</v>
      </c>
      <c r="L991">
        <v>42</v>
      </c>
      <c r="M991" t="str">
        <f t="shared" si="15"/>
        <v>Middle Age</v>
      </c>
      <c r="N991" t="s">
        <v>18</v>
      </c>
    </row>
    <row r="992" spans="1:14" x14ac:dyDescent="0.3">
      <c r="A992">
        <v>14332</v>
      </c>
      <c r="B992" t="s">
        <v>37</v>
      </c>
      <c r="C992" t="s">
        <v>40</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40</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42</v>
      </c>
      <c r="K1001" t="s">
        <v>32</v>
      </c>
      <c r="L1001">
        <v>53</v>
      </c>
      <c r="M1001" t="str">
        <f t="shared" si="15"/>
        <v>Middle Age</v>
      </c>
      <c r="N1001" t="s">
        <v>15</v>
      </c>
    </row>
  </sheetData>
  <autoFilter ref="A1:N1001" xr:uid="{DFF557F2-A518-41A0-B691-D85AEE5D4E4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59929-6009-4EE3-92EB-436003C3D4BC}">
  <dimension ref="A6:D54"/>
  <sheetViews>
    <sheetView workbookViewId="0">
      <selection activeCell="J18" sqref="J1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21.77734375" bestFit="1" customWidth="1"/>
    <col min="6" max="6" width="21.88671875" bestFit="1" customWidth="1"/>
    <col min="7" max="7" width="26.5546875" bestFit="1" customWidth="1"/>
  </cols>
  <sheetData>
    <row r="6" spans="1:4" x14ac:dyDescent="0.3">
      <c r="A6" s="4" t="s">
        <v>45</v>
      </c>
      <c r="B6" s="4" t="s">
        <v>46</v>
      </c>
    </row>
    <row r="7" spans="1:4" x14ac:dyDescent="0.3">
      <c r="A7" s="4" t="s">
        <v>43</v>
      </c>
      <c r="B7" t="s">
        <v>18</v>
      </c>
      <c r="C7" t="s">
        <v>15</v>
      </c>
      <c r="D7" t="s">
        <v>44</v>
      </c>
    </row>
    <row r="8" spans="1:4" x14ac:dyDescent="0.3">
      <c r="A8" s="5" t="s">
        <v>40</v>
      </c>
      <c r="B8" s="3">
        <v>53440</v>
      </c>
      <c r="C8" s="3">
        <v>55774.058577405856</v>
      </c>
      <c r="D8" s="3">
        <v>54580.777096114522</v>
      </c>
    </row>
    <row r="9" spans="1:4" x14ac:dyDescent="0.3">
      <c r="A9" s="5" t="s">
        <v>39</v>
      </c>
      <c r="B9" s="3">
        <v>56208.178438661707</v>
      </c>
      <c r="C9" s="3">
        <v>60123.966942148763</v>
      </c>
      <c r="D9" s="3">
        <v>58062.62230919765</v>
      </c>
    </row>
    <row r="10" spans="1:4" x14ac:dyDescent="0.3">
      <c r="A10" s="5" t="s">
        <v>44</v>
      </c>
      <c r="B10" s="3">
        <v>54874.759152215796</v>
      </c>
      <c r="C10" s="3">
        <v>57962.577962577961</v>
      </c>
      <c r="D10" s="3">
        <v>56360</v>
      </c>
    </row>
    <row r="25" spans="1:4" x14ac:dyDescent="0.3">
      <c r="A25" s="4" t="s">
        <v>47</v>
      </c>
      <c r="B25" s="4" t="s">
        <v>46</v>
      </c>
    </row>
    <row r="26" spans="1:4" x14ac:dyDescent="0.3">
      <c r="A26" s="4" t="s">
        <v>43</v>
      </c>
      <c r="B26" t="s">
        <v>18</v>
      </c>
      <c r="C26" t="s">
        <v>15</v>
      </c>
      <c r="D26" t="s">
        <v>44</v>
      </c>
    </row>
    <row r="27" spans="1:4" x14ac:dyDescent="0.3">
      <c r="A27" s="5" t="s">
        <v>48</v>
      </c>
      <c r="B27">
        <v>88</v>
      </c>
      <c r="C27">
        <v>47</v>
      </c>
      <c r="D27">
        <v>135</v>
      </c>
    </row>
    <row r="28" spans="1:4" x14ac:dyDescent="0.3">
      <c r="A28" s="5" t="s">
        <v>49</v>
      </c>
      <c r="B28">
        <v>301</v>
      </c>
      <c r="C28">
        <v>375</v>
      </c>
      <c r="D28">
        <v>676</v>
      </c>
    </row>
    <row r="29" spans="1:4" x14ac:dyDescent="0.3">
      <c r="A29" s="5" t="s">
        <v>50</v>
      </c>
      <c r="B29">
        <v>130</v>
      </c>
      <c r="C29">
        <v>59</v>
      </c>
      <c r="D29">
        <v>189</v>
      </c>
    </row>
    <row r="30" spans="1:4" x14ac:dyDescent="0.3">
      <c r="A30" s="5" t="s">
        <v>44</v>
      </c>
      <c r="B30">
        <v>519</v>
      </c>
      <c r="C30">
        <v>481</v>
      </c>
      <c r="D30">
        <v>1000</v>
      </c>
    </row>
    <row r="47" spans="1:4" x14ac:dyDescent="0.3">
      <c r="A47" s="4" t="s">
        <v>47</v>
      </c>
      <c r="B47" s="4" t="s">
        <v>46</v>
      </c>
    </row>
    <row r="48" spans="1:4" x14ac:dyDescent="0.3">
      <c r="A48" s="4" t="s">
        <v>43</v>
      </c>
      <c r="B48" t="s">
        <v>18</v>
      </c>
      <c r="C48" t="s">
        <v>15</v>
      </c>
      <c r="D48" t="s">
        <v>44</v>
      </c>
    </row>
    <row r="49" spans="1:4" x14ac:dyDescent="0.3">
      <c r="A49" s="5" t="s">
        <v>16</v>
      </c>
      <c r="B49">
        <v>166</v>
      </c>
      <c r="C49">
        <v>200</v>
      </c>
      <c r="D49">
        <v>366</v>
      </c>
    </row>
    <row r="50" spans="1:4" x14ac:dyDescent="0.3">
      <c r="A50" s="5" t="s">
        <v>26</v>
      </c>
      <c r="B50">
        <v>92</v>
      </c>
      <c r="C50">
        <v>77</v>
      </c>
      <c r="D50">
        <v>169</v>
      </c>
    </row>
    <row r="51" spans="1:4" x14ac:dyDescent="0.3">
      <c r="A51" s="5" t="s">
        <v>22</v>
      </c>
      <c r="B51">
        <v>67</v>
      </c>
      <c r="C51">
        <v>95</v>
      </c>
      <c r="D51">
        <v>162</v>
      </c>
    </row>
    <row r="52" spans="1:4" x14ac:dyDescent="0.3">
      <c r="A52" s="5" t="s">
        <v>23</v>
      </c>
      <c r="B52">
        <v>116</v>
      </c>
      <c r="C52">
        <v>76</v>
      </c>
      <c r="D52">
        <v>192</v>
      </c>
    </row>
    <row r="53" spans="1:4" x14ac:dyDescent="0.3">
      <c r="A53" s="5" t="s">
        <v>42</v>
      </c>
      <c r="B53">
        <v>78</v>
      </c>
      <c r="C53">
        <v>33</v>
      </c>
      <c r="D53">
        <v>111</v>
      </c>
    </row>
    <row r="54" spans="1:4" x14ac:dyDescent="0.3">
      <c r="A54" s="5" t="s">
        <v>44</v>
      </c>
      <c r="B54">
        <v>519</v>
      </c>
      <c r="C54">
        <v>481</v>
      </c>
      <c r="D5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60370-CEE2-4537-84B2-1864BB7A59DF}">
  <dimension ref="A1:T51"/>
  <sheetViews>
    <sheetView showGridLines="0" tabSelected="1" zoomScale="55" zoomScaleNormal="55" workbookViewId="0">
      <selection activeCell="AA18" sqref="AA18"/>
    </sheetView>
  </sheetViews>
  <sheetFormatPr defaultRowHeight="14.4" x14ac:dyDescent="0.3"/>
  <sheetData>
    <row r="1" spans="1:20" ht="14.4" customHeight="1" x14ac:dyDescent="0.3">
      <c r="A1" s="10" t="s">
        <v>51</v>
      </c>
      <c r="B1" s="10"/>
      <c r="C1" s="10"/>
      <c r="D1" s="10"/>
      <c r="E1" s="10"/>
      <c r="F1" s="10"/>
      <c r="G1" s="10"/>
      <c r="H1" s="10"/>
      <c r="I1" s="10"/>
      <c r="J1" s="10"/>
      <c r="K1" s="10"/>
      <c r="L1" s="10"/>
      <c r="M1" s="10"/>
      <c r="N1" s="10"/>
      <c r="O1" s="10"/>
      <c r="P1" s="10"/>
      <c r="Q1" s="10"/>
      <c r="R1" s="10"/>
      <c r="S1" s="10"/>
      <c r="T1" s="10"/>
    </row>
    <row r="2" spans="1:20" ht="14.4" customHeight="1" x14ac:dyDescent="0.3">
      <c r="A2" s="10"/>
      <c r="B2" s="10"/>
      <c r="C2" s="10"/>
      <c r="D2" s="10"/>
      <c r="E2" s="10"/>
      <c r="F2" s="10"/>
      <c r="G2" s="10"/>
      <c r="H2" s="10"/>
      <c r="I2" s="10"/>
      <c r="J2" s="10"/>
      <c r="K2" s="10"/>
      <c r="L2" s="10"/>
      <c r="M2" s="10"/>
      <c r="N2" s="10"/>
      <c r="O2" s="10"/>
      <c r="P2" s="10"/>
      <c r="Q2" s="10"/>
      <c r="R2" s="10"/>
      <c r="S2" s="10"/>
      <c r="T2" s="10"/>
    </row>
    <row r="3" spans="1:20" ht="14.4" customHeight="1" x14ac:dyDescent="0.3">
      <c r="A3" s="10"/>
      <c r="B3" s="10"/>
      <c r="C3" s="10"/>
      <c r="D3" s="10"/>
      <c r="E3" s="10"/>
      <c r="F3" s="10"/>
      <c r="G3" s="10"/>
      <c r="H3" s="10"/>
      <c r="I3" s="10"/>
      <c r="J3" s="10"/>
      <c r="K3" s="10"/>
      <c r="L3" s="10"/>
      <c r="M3" s="10"/>
      <c r="N3" s="10"/>
      <c r="O3" s="10"/>
      <c r="P3" s="10"/>
      <c r="Q3" s="10"/>
      <c r="R3" s="10"/>
      <c r="S3" s="10"/>
      <c r="T3" s="10"/>
    </row>
    <row r="4" spans="1:20" ht="14.4" customHeight="1" x14ac:dyDescent="0.3">
      <c r="A4" s="10"/>
      <c r="B4" s="10"/>
      <c r="C4" s="10"/>
      <c r="D4" s="10"/>
      <c r="E4" s="10"/>
      <c r="F4" s="10"/>
      <c r="G4" s="10"/>
      <c r="H4" s="10"/>
      <c r="I4" s="10"/>
      <c r="J4" s="10"/>
      <c r="K4" s="10"/>
      <c r="L4" s="10"/>
      <c r="M4" s="10"/>
      <c r="N4" s="10"/>
      <c r="O4" s="10"/>
      <c r="P4" s="10"/>
      <c r="Q4" s="10"/>
      <c r="R4" s="10"/>
      <c r="S4" s="10"/>
      <c r="T4" s="10"/>
    </row>
    <row r="5" spans="1:20" ht="14.4" customHeight="1" x14ac:dyDescent="0.3">
      <c r="A5" s="10"/>
      <c r="B5" s="10"/>
      <c r="C5" s="10"/>
      <c r="D5" s="10"/>
      <c r="E5" s="10"/>
      <c r="F5" s="10"/>
      <c r="G5" s="10"/>
      <c r="H5" s="10"/>
      <c r="I5" s="10"/>
      <c r="J5" s="10"/>
      <c r="K5" s="10"/>
      <c r="L5" s="10"/>
      <c r="M5" s="10"/>
      <c r="N5" s="10"/>
      <c r="O5" s="10"/>
      <c r="P5" s="10"/>
      <c r="Q5" s="10"/>
      <c r="R5" s="10"/>
      <c r="S5" s="10"/>
      <c r="T5" s="10"/>
    </row>
    <row r="7" spans="1:20" ht="14.4" customHeight="1" x14ac:dyDescent="0.5">
      <c r="B7" s="14" t="s">
        <v>53</v>
      </c>
      <c r="C7" s="14"/>
      <c r="D7" s="14"/>
      <c r="H7" s="15" t="s">
        <v>54</v>
      </c>
      <c r="I7" s="15"/>
      <c r="J7" s="15"/>
      <c r="K7" s="15"/>
      <c r="N7" s="7"/>
      <c r="O7" s="15" t="s">
        <v>52</v>
      </c>
      <c r="P7" s="15"/>
      <c r="Q7" s="15"/>
      <c r="R7" s="15"/>
    </row>
    <row r="8" spans="1:20" ht="14.4" customHeight="1" x14ac:dyDescent="0.5">
      <c r="B8" s="14"/>
      <c r="C8" s="14"/>
      <c r="D8" s="14"/>
      <c r="H8" s="15"/>
      <c r="I8" s="15"/>
      <c r="J8" s="15"/>
      <c r="K8" s="15"/>
      <c r="N8" s="7"/>
      <c r="O8" s="15"/>
      <c r="P8" s="15"/>
      <c r="Q8" s="15"/>
      <c r="R8" s="15"/>
    </row>
    <row r="9" spans="1:20" ht="14.4" customHeight="1" x14ac:dyDescent="0.3">
      <c r="B9" s="11">
        <f>COUNT('Working sheet'!A2:A10001)</f>
        <v>1000</v>
      </c>
      <c r="C9" s="11"/>
      <c r="D9" s="11"/>
      <c r="H9" s="12">
        <f>COUNTIF('Working sheet'!N2:N10001,"Yes")</f>
        <v>481</v>
      </c>
      <c r="I9" s="12"/>
      <c r="J9" s="12"/>
      <c r="K9" s="12"/>
      <c r="O9" s="13">
        <f>COUNTIF('Working sheet'!N2:N10001,"Yes")/COUNT('Working sheet'!A2:A10001)</f>
        <v>0.48099999999999998</v>
      </c>
      <c r="P9" s="13"/>
      <c r="Q9" s="13"/>
      <c r="R9" s="13"/>
    </row>
    <row r="10" spans="1:20" ht="14.4" customHeight="1" x14ac:dyDescent="0.3">
      <c r="B10" s="11"/>
      <c r="C10" s="11"/>
      <c r="D10" s="11"/>
      <c r="H10" s="12"/>
      <c r="I10" s="12"/>
      <c r="J10" s="12"/>
      <c r="K10" s="12"/>
      <c r="M10" s="6"/>
      <c r="O10" s="13"/>
      <c r="P10" s="13"/>
      <c r="Q10" s="13"/>
      <c r="R10" s="13"/>
    </row>
    <row r="49" spans="17:20" x14ac:dyDescent="0.3">
      <c r="Q49" s="8" t="s">
        <v>55</v>
      </c>
      <c r="R49" s="9"/>
      <c r="S49" s="9"/>
      <c r="T49" s="9"/>
    </row>
    <row r="50" spans="17:20" x14ac:dyDescent="0.3">
      <c r="Q50" s="9"/>
      <c r="R50" s="9"/>
      <c r="S50" s="9"/>
      <c r="T50" s="9"/>
    </row>
    <row r="51" spans="17:20" x14ac:dyDescent="0.3">
      <c r="Q51" s="9"/>
      <c r="R51" s="9"/>
      <c r="S51" s="9"/>
      <c r="T51" s="9"/>
    </row>
  </sheetData>
  <mergeCells count="8">
    <mergeCell ref="Q49:T51"/>
    <mergeCell ref="A1:T5"/>
    <mergeCell ref="B9:D10"/>
    <mergeCell ref="H9:K10"/>
    <mergeCell ref="O9:R10"/>
    <mergeCell ref="B7:D8"/>
    <mergeCell ref="H7:K8"/>
    <mergeCell ref="O7:R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piyushkatre2004@gmail.com</cp:lastModifiedBy>
  <dcterms:created xsi:type="dcterms:W3CDTF">2022-03-18T02:50:57Z</dcterms:created>
  <dcterms:modified xsi:type="dcterms:W3CDTF">2026-05-10T18:56:47Z</dcterms:modified>
</cp:coreProperties>
</file>